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sktop\Downloads\"/>
    </mc:Choice>
  </mc:AlternateContent>
  <bookViews>
    <workbookView xWindow="0" yWindow="0" windowWidth="20490" windowHeight="7755"/>
  </bookViews>
  <sheets>
    <sheet name="Planilha1" sheetId="1" r:id="rId1"/>
    <sheet name="Planilha3" sheetId="3" r:id="rId2"/>
    <sheet name="Planilha2" sheetId="2" r:id="rId3"/>
  </sheets>
  <definedNames>
    <definedName name="_Hlk158276605" localSheetId="0">Planilha1!$B$132</definedName>
  </definedNames>
  <calcPr calcId="152511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<sst xmlns="http://schemas.openxmlformats.org/spreadsheetml/2006/main" count="112" uniqueCount="112">
  <si>
    <t>CONTRATO DE PRESTAÇÃO DE SERVIÇOS EDUCACIONAIS EXTRACURRICULARES</t>
  </si>
  <si>
    <t>QUADRO DESCRITIVO</t>
  </si>
  <si>
    <t>Matrícula Aluno(a)</t>
  </si>
  <si>
    <t>Nome do(a) Aluno(a)</t>
  </si>
  <si>
    <t>Série/Ano</t>
  </si>
  <si>
    <t>Data de Nascimento</t>
  </si>
  <si>
    <t>CONTRATANTE / Responsável Legal</t>
  </si>
  <si>
    <t>Nº CPF</t>
  </si>
  <si>
    <t>Nº RG</t>
  </si>
  <si>
    <t>Telefonde de Contato</t>
  </si>
  <si>
    <t>Endereço</t>
  </si>
  <si>
    <t>Bairro</t>
  </si>
  <si>
    <t>Cidade</t>
  </si>
  <si>
    <t>UF</t>
  </si>
  <si>
    <t>CEP</t>
  </si>
  <si>
    <t>ATIVIDADE</t>
  </si>
  <si>
    <t>Turma</t>
  </si>
  <si>
    <t>Professor(a)</t>
  </si>
  <si>
    <t xml:space="preserve">Fabiano </t>
  </si>
  <si>
    <t>Dia/Semana</t>
  </si>
  <si>
    <t>Horário</t>
  </si>
  <si>
    <t>Valor da Parcela - R$</t>
  </si>
  <si>
    <t xml:space="preserve">  Nº de Parcelas</t>
  </si>
  <si>
    <t>Valor Total - R$</t>
  </si>
  <si>
    <r>
      <rPr>
        <b/>
        <sz val="11"/>
        <color theme="1"/>
        <rFont val="Aptos Narrow"/>
        <family val="2"/>
      </rPr>
      <t>CONTRATADA</t>
    </r>
    <r>
      <rPr>
        <sz val="11"/>
        <color theme="1"/>
        <rFont val="Aptos Narrow"/>
        <family val="2"/>
      </rPr>
      <t>:  Ordem  Auxiliadora  das  Senhoras  Evangélicas,  mantenedora  do Instituto  Educacional  Luterano,  pessoa  jurídica  de  direito  privado,  inscrita  no CNPJ/MF: sob nº 60.761.657/0005-27, com sede à Av Hermann Teles Ribeiro, 162, Vila Romanópolis, Ferraz de Vasconcelos, SP.</t>
    </r>
  </si>
  <si>
    <t>As partes acima identificadas, através de seus representantes legais, têm entre si justas   e acertadas o presente Contrato de Prestação de Serviços, que se regerá pelas cláusulas e condições seguintes.</t>
  </si>
  <si>
    <t>I – OBJETO:</t>
  </si>
  <si>
    <r>
      <t xml:space="preserve">A  </t>
    </r>
    <r>
      <rPr>
        <b/>
        <sz val="11"/>
        <color theme="1"/>
        <rFont val="Aptos Narrow"/>
        <family val="2"/>
      </rPr>
      <t>CONTRATADA</t>
    </r>
    <r>
      <rPr>
        <sz val="11"/>
        <color theme="1"/>
        <rFont val="Aptos Narrow"/>
        <family val="2"/>
      </rPr>
      <t xml:space="preserve">  prestará  serviços  de  treinamento  e  capacitação  para  o  período letivo  de  2026  ao(s)  Beneficiário(a)(s),  na forma  de  cursos  extracurriculares  de caráter,  esportivo,  artístico  e  cultural,  em  locais  que  se  fizerem  necessários conforme atividade praticada.</t>
    </r>
  </si>
  <si>
    <r>
      <t xml:space="preserve">§ 1º - O presente contrato é celebrado sob a égide da legislação pertinente, sendo certo que os valores avençados neste instrumento são de conhecimento prévio do </t>
    </r>
    <r>
      <rPr>
        <b/>
        <sz val="11"/>
        <color theme="1"/>
        <rFont val="Aptos Narrow"/>
        <family val="2"/>
      </rPr>
      <t>CONTRATANTE</t>
    </r>
    <r>
      <rPr>
        <sz val="11"/>
        <color theme="1"/>
        <rFont val="Aptos Narrow"/>
        <family val="2"/>
      </rPr>
      <t>, nos termos da legislação vigente.</t>
    </r>
  </si>
  <si>
    <r>
      <t xml:space="preserve">§  2º  -  Os  cursos  serão  ministrados  nas  instalações  do  Colégio,  ficando  o </t>
    </r>
    <r>
      <rPr>
        <b/>
        <sz val="11"/>
        <color theme="1"/>
        <rFont val="Aptos Narrow"/>
        <family val="2"/>
      </rPr>
      <t>CONTRATANTE</t>
    </r>
    <r>
      <rPr>
        <sz val="11"/>
        <color theme="1"/>
        <rFont val="Aptos Narrow"/>
        <family val="2"/>
      </rPr>
      <t xml:space="preserve">   desde   já   ciente   de   que   o(a)(s)   aluno(a)(s)   beneficiário(a)(s) estará(ao)   sujeito(s)   às   normas   do   estabelecimento   de   ensino   onde   serão ministrados  os  cursos,  as  quais  estão  à  disposição  do  </t>
    </r>
    <r>
      <rPr>
        <b/>
        <sz val="11"/>
        <color theme="1"/>
        <rFont val="Aptos Narrow"/>
        <family val="2"/>
      </rPr>
      <t>CONTRATANTE</t>
    </r>
    <r>
      <rPr>
        <sz val="11"/>
        <color theme="1"/>
        <rFont val="Aptos Narrow"/>
        <family val="2"/>
      </rPr>
      <t>,  e  cujas determinações  integram  o presente  instrumento para  aplicação subsidiária e  em casos omissos.</t>
    </r>
  </si>
  <si>
    <t>§ 3º - Não estão incluídos neste contrato os materiais e vestuários específicos necessários  à  participação  nos  cursos,  os  opcionais  e  de  uso  facultativo  para o(a)(s) aluno(a)(s), transporte, refeições e eventual material de uso individual.</t>
  </si>
  <si>
    <t>II - PROCEDIMENTO DE MATRÍCULA:</t>
  </si>
  <si>
    <r>
      <t xml:space="preserve">§  1º  -  O  procedimento  de  matrícula  do(a)(s)  Beneficiário(a)(s)  inicia-se  com  o contrato corretamente preenchido pelo </t>
    </r>
    <r>
      <rPr>
        <b/>
        <sz val="11"/>
        <color theme="1"/>
        <rFont val="Aptos Narrow"/>
        <family val="2"/>
      </rPr>
      <t>CONTRATANTE</t>
    </r>
    <r>
      <rPr>
        <sz val="11"/>
        <color theme="1"/>
        <rFont val="Aptos Narrow"/>
        <family val="2"/>
      </rPr>
      <t>, bem como acompanhado de todos  os  documentos  exigidos  e  reputa-se  concluída  com  o  pagamento  da matrícula.</t>
    </r>
  </si>
  <si>
    <r>
      <t xml:space="preserve">§ 2º - Ficará ao critério da </t>
    </r>
    <r>
      <rPr>
        <b/>
        <sz val="11"/>
        <color theme="1"/>
        <rFont val="Aptos Narrow"/>
        <family val="2"/>
      </rPr>
      <t>CONTRATADA</t>
    </r>
    <r>
      <rPr>
        <sz val="11"/>
        <color theme="1"/>
        <rFont val="Aptos Narrow"/>
        <family val="2"/>
      </rPr>
      <t xml:space="preserve"> o deferimento ou renovação da matrícula do(a)(s) Beneficiário(a)(s), sendo motivos especiais de indeferimento ou recusa à renovação   a   inexistência   do   número   mínimo   necessário   de   alunos   para   a viabilização  econômica  de  determinada  turma  e  o  inadimplemento  de  quaisquer obrigações anteriormente assumidas.</t>
    </r>
  </si>
  <si>
    <r>
      <t xml:space="preserve">§ 3º  - O </t>
    </r>
    <r>
      <rPr>
        <b/>
        <sz val="11"/>
        <color theme="1"/>
        <rFont val="Aptos Narrow"/>
        <family val="2"/>
      </rPr>
      <t>CONTRATANTE</t>
    </r>
    <r>
      <rPr>
        <sz val="11"/>
        <color theme="1"/>
        <rFont val="Aptos Narrow"/>
        <family val="2"/>
      </rPr>
      <t xml:space="preserve">  assume total responsabilidade  pela veracidade e precisão das informações prestadas por ocasião do requerimento de matrícula.</t>
    </r>
  </si>
  <si>
    <t>§ 4º - Não haverá restituição de valores pagos após 07 dias do início das aulas.</t>
  </si>
  <si>
    <t>III - EXECUÇÃO DO CONTRATO:</t>
  </si>
  <si>
    <r>
      <t xml:space="preserve">§ 1º - Compete exclusivamente a </t>
    </r>
    <r>
      <rPr>
        <b/>
        <sz val="11"/>
        <color theme="1"/>
        <rFont val="Aptos Narrow"/>
        <family val="2"/>
      </rPr>
      <t>CONTRATADA</t>
    </r>
    <r>
      <rPr>
        <sz val="11"/>
        <color theme="1"/>
        <rFont val="Aptos Narrow"/>
        <family val="2"/>
      </rPr>
      <t xml:space="preserve"> o planejamento e a prestação dos serviços  extracurriculares  no  que  se  refere  à  orientação  técnica,  definição  de calendário    escolar,    designação    de    professores    e    demais    prerrogativas relacionadas ao desempenho da atividade.</t>
    </r>
  </si>
  <si>
    <r>
      <t xml:space="preserve">§ 2º - O </t>
    </r>
    <r>
      <rPr>
        <b/>
        <sz val="11"/>
        <color theme="1"/>
        <rFont val="Aptos Narrow"/>
        <family val="2"/>
      </rPr>
      <t>CONTRATANTE</t>
    </r>
    <r>
      <rPr>
        <sz val="11"/>
        <color theme="1"/>
        <rFont val="Aptos Narrow"/>
        <family val="2"/>
      </rPr>
      <t xml:space="preserve"> se responsabiliza pelo cumprimento, por parte do(a)(s) Beneficiário(s)(s), do Regimento Escolar do Colégio</t>
    </r>
  </si>
  <si>
    <r>
      <t xml:space="preserve">§ 3º - O </t>
    </r>
    <r>
      <rPr>
        <b/>
        <sz val="11"/>
        <color theme="1"/>
        <rFont val="Aptos Narrow"/>
        <family val="2"/>
      </rPr>
      <t>CONTRATANTE</t>
    </r>
    <r>
      <rPr>
        <sz val="11"/>
        <color theme="1"/>
        <rFont val="Aptos Narrow"/>
        <family val="2"/>
      </rPr>
      <t xml:space="preserve"> se responsabiliza pelo pagamento das mensalidades no valor e prazos mencionados no Quadro Descritivo (página 1/4).</t>
    </r>
  </si>
  <si>
    <r>
      <t xml:space="preserve">§ 4º - O pagamento das mensalidades será realizado através de boleto bancário da </t>
    </r>
    <r>
      <rPr>
        <b/>
        <sz val="11"/>
        <color theme="1"/>
        <rFont val="Aptos Narrow"/>
        <family val="2"/>
      </rPr>
      <t>CONTRATADA</t>
    </r>
    <r>
      <rPr>
        <sz val="11"/>
        <color theme="1"/>
        <rFont val="Aptos Narrow"/>
        <family val="2"/>
      </rPr>
      <t>, com vencimento conforme Quadro Descritivo (página 1/4).</t>
    </r>
  </si>
  <si>
    <t>§ 5º - Sobre a(s) mensalidade(s) vencida(s) e não paga(s) ou paga(s) com atraso, incidirão   cumulativamente   os   seguintes   encargos,   calculados   desde   o(s) respectivo(s) vencimento(s) até o(s) seu(s) efetivo(s) pagamento(s):</t>
  </si>
  <si>
    <t>a- Multa à taxa de 2% (dois por cento);</t>
  </si>
  <si>
    <t>b- Juros de mora de 1% ao mês (um por cento, contados dia a dia);</t>
  </si>
  <si>
    <r>
      <t xml:space="preserve">§ 6º - O </t>
    </r>
    <r>
      <rPr>
        <b/>
        <sz val="11"/>
        <color theme="1"/>
        <rFont val="Aptos Narrow"/>
        <family val="2"/>
      </rPr>
      <t>CONTRATANTE</t>
    </r>
    <r>
      <rPr>
        <sz val="11"/>
        <color theme="1"/>
        <rFont val="Aptos Narrow"/>
        <family val="2"/>
      </rPr>
      <t xml:space="preserve"> tem plena ciência de que haverá suspensão da atividade, com o encerramento do presente contrato, em caso de falta de pagamento por prazo superior a 30 (trinta) dias, independentemente de prévia notificação.</t>
    </r>
  </si>
  <si>
    <t xml:space="preserve">IV – VALOR DA MENSALIDADE  E FORMA DE PAGAMENTO </t>
  </si>
  <si>
    <r>
      <t xml:space="preserve">§ 1º  - Pelos serviços contratados, é devida a  </t>
    </r>
    <r>
      <rPr>
        <b/>
        <sz val="11"/>
        <color theme="1"/>
        <rFont val="Aptos Narrow"/>
        <family val="2"/>
      </rPr>
      <t>CONTRATADA</t>
    </r>
    <r>
      <rPr>
        <sz val="11"/>
        <color theme="1"/>
        <rFont val="Aptos Narrow"/>
        <family val="2"/>
      </rPr>
      <t xml:space="preserve"> uma mensalidade  por cada Beneficiário mencionado no Quadro Descritivo (pag.1/4) deste contrato, relativa à atividade praticada.</t>
    </r>
  </si>
  <si>
    <r>
      <t xml:space="preserve">§ 2º - Fica na responsabilidade do </t>
    </r>
    <r>
      <rPr>
        <b/>
        <sz val="11"/>
        <color theme="1"/>
        <rFont val="Aptos Narrow"/>
        <family val="2"/>
      </rPr>
      <t>CONTRATANTE</t>
    </r>
    <r>
      <rPr>
        <sz val="11"/>
        <color theme="1"/>
        <rFont val="Aptos Narrow"/>
        <family val="2"/>
      </rPr>
      <t xml:space="preserve"> a aquisição do uniforme para as aulas de esportes e balé. </t>
    </r>
  </si>
  <si>
    <r>
      <t xml:space="preserve">§ 3º - Na realização do espetáculo do balé, a aquisição do figurino será responsabilidade do </t>
    </r>
    <r>
      <rPr>
        <b/>
        <sz val="11"/>
        <color theme="1"/>
        <rFont val="Aptos Narrow"/>
        <family val="2"/>
      </rPr>
      <t>CONTRATANTE</t>
    </r>
    <r>
      <rPr>
        <sz val="11"/>
        <color theme="1"/>
        <rFont val="Aptos Narrow"/>
        <family val="2"/>
      </rPr>
      <t xml:space="preserve">. </t>
    </r>
  </si>
  <si>
    <t>V – COBRANÇA:</t>
  </si>
  <si>
    <r>
      <t xml:space="preserve">Após o vencimento previsto na cláusula IV, a </t>
    </r>
    <r>
      <rPr>
        <b/>
        <sz val="11"/>
        <color theme="1"/>
        <rFont val="Aptos Narrow"/>
        <family val="2"/>
      </rPr>
      <t>CONTRATADA</t>
    </r>
    <r>
      <rPr>
        <sz val="11"/>
        <color theme="1"/>
        <rFont val="Aptos Narrow"/>
        <family val="2"/>
      </rPr>
      <t xml:space="preserve"> poderá isolada ou cumulativamente, promover a imediata cobrança administrativa, diretamente ou por terceiros contratados para esta finalidade.</t>
    </r>
  </si>
  <si>
    <t>VI – RESCISÃO CONTRATUAL:</t>
  </si>
  <si>
    <t>O presente contrato poderá ser rescindindo antes do seu vencimento sem gerar a rescisão qualquer indenização ou obrigação para as partes:</t>
  </si>
  <si>
    <r>
      <t xml:space="preserve">a-  Pela   </t>
    </r>
    <r>
      <rPr>
        <b/>
        <sz val="11"/>
        <color theme="1"/>
        <rFont val="Aptos Narrow"/>
        <family val="2"/>
      </rPr>
      <t>CONTRATADA</t>
    </r>
    <r>
      <rPr>
        <sz val="11"/>
        <color theme="1"/>
        <rFont val="Aptos Narrow"/>
        <family val="2"/>
      </rPr>
      <t>,   por   infração   do(a)(s)   Beneficiário(a)(s)   às   regras disciplinares    ou    pedagógicas    previstas    no    Estatuto,    na    Proposta Pedagógica ou no Regimento Interno do Colégio e pelo não cumprimento das obrigações financeiras;</t>
    </r>
  </si>
  <si>
    <r>
      <t xml:space="preserve">b-  Pelo </t>
    </r>
    <r>
      <rPr>
        <b/>
        <sz val="11"/>
        <color theme="1"/>
        <rFont val="Aptos Narrow"/>
        <family val="2"/>
      </rPr>
      <t>CONTRATANTE</t>
    </r>
    <r>
      <rPr>
        <sz val="11"/>
        <color theme="1"/>
        <rFont val="Aptos Narrow"/>
        <family val="2"/>
      </rPr>
      <t xml:space="preserve">, por desistência, mediante preenchimento de formulário específico, fornecido pela </t>
    </r>
    <r>
      <rPr>
        <b/>
        <sz val="11"/>
        <color theme="1"/>
        <rFont val="Aptos Narrow"/>
        <family val="2"/>
      </rPr>
      <t>CONTRATADA</t>
    </r>
    <r>
      <rPr>
        <sz val="11"/>
        <color theme="1"/>
        <rFont val="Aptos Narrow"/>
        <family val="2"/>
      </rPr>
      <t xml:space="preserve">, </t>
    </r>
    <r>
      <rPr>
        <b/>
        <sz val="11"/>
        <color theme="1"/>
        <rFont val="Aptos Narrow"/>
        <family val="2"/>
      </rPr>
      <t>até a data de vencimento da próxima mensalidade</t>
    </r>
    <r>
      <rPr>
        <sz val="11"/>
        <color theme="1"/>
        <rFont val="Aptos Narrow"/>
        <family val="2"/>
      </rPr>
      <t>, desde que esteja adimplente com suas obrigações ou que efetue o pagamento da(s) parcela(s) vencida(s) e não  paga(s)  no  período  transcorrido  desde  a  contratação  até  a  data  em que  se  pretende  a  rescisão,  acrescida(s)  dos  encargos  previstos  na cláusula IV. O não comparecimento do(a) aluno(a) na(s) atividade(s) contratada(s) não é considerado como desistência.</t>
    </r>
  </si>
  <si>
    <t>VII – FORO:</t>
  </si>
  <si>
    <t>Elegem as partes a Comarca de Ferraz de Vasconcelos, Estado de         São Paulo,  para  dirimir  quaisquer  dúvidas  ou  divergências  oriundas  do  presente contrato, renunciando a qualquer outro por mais privilegiado que o seja.</t>
  </si>
  <si>
    <t>Por estarem justas e contratadas as partes, firmam o presente, em 2 (duas) vias de igual teor e forma, juntamente com 2 (duas) testemunhas.</t>
  </si>
  <si>
    <t>Ordem Auxiliadora das Senhoras Evangélicas</t>
  </si>
  <si>
    <t>CONTRATANTE</t>
  </si>
  <si>
    <t>CONTRATADA</t>
  </si>
  <si>
    <t>Testemunhas:</t>
  </si>
  <si>
    <t>Nome</t>
  </si>
  <si>
    <t>CPF</t>
  </si>
  <si>
    <t>DECLARAÇÃO:</t>
  </si>
  <si>
    <t>Declaro haver recebido 1 (uma) via do Contrato de Prestação de Serviços, ao qual tive acesso para leitura e análise, previamente à assinatura.</t>
  </si>
  <si>
    <t>(Assinatura do CONTRATANTE)</t>
  </si>
  <si>
    <t>Mat</t>
  </si>
  <si>
    <t>DescClasse</t>
  </si>
  <si>
    <t>NomeResp</t>
  </si>
  <si>
    <t>TelefoneResp</t>
  </si>
  <si>
    <t>cpfresp</t>
  </si>
  <si>
    <t>RGResp</t>
  </si>
  <si>
    <t>Endereco</t>
  </si>
  <si>
    <t>Estado</t>
  </si>
  <si>
    <t>DATA NASC</t>
  </si>
  <si>
    <t>⚽ Futsal</t>
  </si>
  <si>
    <t>Todas</t>
  </si>
  <si>
    <t>📅 Terças e quintas</t>
  </si>
  <si>
    <t>⏰ 18h às 19h40</t>
  </si>
  <si>
    <t>Fabiano</t>
  </si>
  <si>
    <t>🥋 Judô Baby</t>
  </si>
  <si>
    <t>Educação Infantil</t>
  </si>
  <si>
    <t>📅 Terças-feiras</t>
  </si>
  <si>
    <t>⏰ 11h às 12h</t>
  </si>
  <si>
    <t>🥋 Judô Infantil</t>
  </si>
  <si>
    <t>1º ao 5º ano</t>
  </si>
  <si>
    <t>⏰ 9h30 às 11h</t>
  </si>
  <si>
    <t>🩰 Ballet Baby Class</t>
  </si>
  <si>
    <t>📅 Sextas-feiras</t>
  </si>
  <si>
    <t>Kaylane</t>
  </si>
  <si>
    <t>🩰 Ballet Infantil</t>
  </si>
  <si>
    <t>1º ao 3º ano</t>
  </si>
  <si>
    <t>📅 Segundas e quintas</t>
  </si>
  <si>
    <t>⏰ 18h às 19h</t>
  </si>
  <si>
    <t>Larissa</t>
  </si>
  <si>
    <t>🩰 Ballet Infanto Juvenil</t>
  </si>
  <si>
    <t>4º e 5º ano</t>
  </si>
  <si>
    <t>⏰ 18h às 20h</t>
  </si>
  <si>
    <t>🩰 Ballet Juvenil</t>
  </si>
  <si>
    <t>6º ao 9º ano</t>
  </si>
  <si>
    <t>⏰ 12h30 às 13h30</t>
  </si>
  <si>
    <t>🩰 Ballet Juvenil Preparatório</t>
  </si>
  <si>
    <t>7º ano ao Ensino Médio</t>
  </si>
  <si>
    <t>📅 Quartas-feiras</t>
  </si>
  <si>
    <t>opção</t>
  </si>
  <si>
    <t>descrição</t>
  </si>
  <si>
    <t>data matrícula (até)</t>
  </si>
  <si>
    <t>entrada</t>
  </si>
  <si>
    <t>nº parcelas</t>
  </si>
  <si>
    <t>valor parcela</t>
  </si>
  <si>
    <t>Futsal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</si>
</sst>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&lt;=9999999]###\-####;\(###\)\ ###\-####"/>
    <numFmt numFmtId="165" formatCode="00000\-000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8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8"/>
      <color rgb="FFFFC000"/>
      <name val="Arial"/>
      <family val="2"/>
    </font>
    <font>
      <b/>
      <sz val="8"/>
      <color rgb="FFFFC000"/>
      <name val="Aptos Narrow"/>
      <family val="2"/>
      <scheme val="minor"/>
    </font>
    <font>
      <b/>
      <sz val="12"/>
      <color theme="1"/>
      <name val="Aptos Narrow"/>
      <family val="2"/>
    </font>
    <font>
      <sz val="20"/>
      <color theme="1"/>
      <name val="Aptos Narrow"/>
      <family val="2"/>
    </font>
    <font>
      <b/>
      <sz val="11"/>
      <name val="Aptos Narrow"/>
      <family val="2"/>
    </font>
    <font>
      <b/>
      <sz val="8"/>
      <color rgb="FFFF0000"/>
      <name val="Aptos Narrow"/>
      <family val="2"/>
    </font>
    <font>
      <sz val="8"/>
      <color theme="1"/>
      <name val="Aptos Narrow"/>
      <family val="2"/>
    </font>
    <font>
      <b/>
      <sz val="11"/>
      <color theme="1"/>
      <name val="Aptos Narrow"/>
      <family val="2"/>
    </font>
    <font>
      <b/>
      <sz val="8"/>
      <color theme="1"/>
      <name val="Aptos Narrow"/>
      <family val="2"/>
    </font>
    <font>
      <sz val="12"/>
      <color theme="1"/>
      <name val="Aptos Narrow"/>
      <family val="2"/>
    </font>
    <font>
      <b/>
      <sz val="12"/>
      <color rgb="FFFF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0" borderId="0" xfId="0" quotePrefix="1"/>
    <xf numFmtId="14" fontId="0" fillId="0" borderId="0" xfId="0" applyNumberFormat="1"/>
    <xf numFmtId="2" fontId="0" fillId="0" borderId="0" xfId="0" applyNumberFormat="1"/>
    <xf numFmtId="4" fontId="0" fillId="0" borderId="0" xfId="0" applyNumberFormat="1"/>
    <xf numFmtId="16" fontId="0" fillId="0" borderId="0" xfId="0" applyNumberFormat="1"/>
    <xf numFmtId="0" fontId="2" fillId="0" borderId="0" xfId="0" applyFont="1"/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2" borderId="9" xfId="0" applyFont="1" applyFill="1" applyBorder="1" applyAlignment="1">
      <alignment vertical="center"/>
    </xf>
    <xf numFmtId="0" fontId="4" fillId="2" borderId="9" xfId="0" applyFont="1" applyFill="1" applyBorder="1" applyAlignment="1">
      <alignment horizontal="left" vertical="center"/>
    </xf>
    <xf numFmtId="165" fontId="4" fillId="2" borderId="9" xfId="0" applyNumberFormat="1" applyFont="1" applyFill="1" applyBorder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14" fontId="5" fillId="2" borderId="9" xfId="0" applyNumberFormat="1" applyFont="1" applyFill="1" applyBorder="1" applyAlignment="1">
      <alignment horizontal="center"/>
    </xf>
    <xf numFmtId="0" fontId="0" fillId="0" borderId="0" xfId="0" applyProtection="1">
      <protection locked="0"/>
    </xf>
    <xf numFmtId="0" fontId="1" fillId="0" borderId="0" xfId="0" applyFont="1"/>
    <xf numFmtId="0" fontId="7" fillId="0" borderId="0" xfId="0" applyFont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/>
    <xf numFmtId="0" fontId="1" fillId="0" borderId="5" xfId="0" applyFont="1" applyBorder="1" applyAlignment="1">
      <alignment vertical="center"/>
    </xf>
    <xf numFmtId="0" fontId="1" fillId="0" borderId="1" xfId="0" applyFont="1" applyBorder="1"/>
    <xf numFmtId="0" fontId="1" fillId="0" borderId="2" xfId="0" applyFont="1" applyBorder="1" applyAlignment="1"/>
    <xf numFmtId="0" fontId="1" fillId="0" borderId="0" xfId="0" applyFont="1" applyBorder="1" applyAlignment="1">
      <alignment vertical="center"/>
    </xf>
    <xf numFmtId="0" fontId="1" fillId="0" borderId="8" xfId="0" applyFont="1" applyBorder="1"/>
    <xf numFmtId="0" fontId="1" fillId="0" borderId="7" xfId="0" applyFont="1" applyBorder="1"/>
    <xf numFmtId="0" fontId="10" fillId="3" borderId="11" xfId="0" applyFont="1" applyFill="1" applyBorder="1" applyAlignment="1"/>
    <xf numFmtId="0" fontId="1" fillId="3" borderId="12" xfId="0" applyFont="1" applyFill="1" applyBorder="1"/>
    <xf numFmtId="0" fontId="1" fillId="3" borderId="13" xfId="0" applyFont="1" applyFill="1" applyBorder="1"/>
    <xf numFmtId="0" fontId="1" fillId="3" borderId="14" xfId="0" applyFont="1" applyFill="1" applyBorder="1"/>
    <xf numFmtId="0" fontId="1" fillId="3" borderId="16" xfId="0" applyFont="1" applyFill="1" applyBorder="1"/>
    <xf numFmtId="0" fontId="10" fillId="3" borderId="12" xfId="0" applyFont="1" applyFill="1" applyBorder="1" applyAlignment="1"/>
    <xf numFmtId="0" fontId="10" fillId="3" borderId="13" xfId="0" applyFont="1" applyFill="1" applyBorder="1" applyAlignment="1"/>
    <xf numFmtId="0" fontId="10" fillId="0" borderId="0" xfId="0" applyFont="1" applyBorder="1" applyAlignment="1"/>
    <xf numFmtId="0" fontId="10" fillId="0" borderId="0" xfId="0" applyFont="1" applyAlignment="1"/>
    <xf numFmtId="0" fontId="11" fillId="3" borderId="16" xfId="0" applyFont="1" applyFill="1" applyBorder="1" applyAlignment="1">
      <alignment vertical="center"/>
    </xf>
    <xf numFmtId="0" fontId="1" fillId="0" borderId="0" xfId="0" applyFont="1" applyBorder="1"/>
    <xf numFmtId="0" fontId="10" fillId="3" borderId="12" xfId="0" applyFont="1" applyFill="1" applyBorder="1"/>
    <xf numFmtId="0" fontId="10" fillId="3" borderId="13" xfId="0" applyFont="1" applyFill="1" applyBorder="1"/>
    <xf numFmtId="0" fontId="10" fillId="3" borderId="12" xfId="0" applyFont="1" applyFill="1" applyBorder="1" applyAlignment="1">
      <alignment vertical="top"/>
    </xf>
    <xf numFmtId="0" fontId="10" fillId="3" borderId="13" xfId="0" applyFont="1" applyFill="1" applyBorder="1" applyAlignment="1">
      <alignment vertical="top"/>
    </xf>
    <xf numFmtId="0" fontId="10" fillId="0" borderId="0" xfId="0" applyFont="1" applyAlignment="1">
      <alignment vertical="top"/>
    </xf>
    <xf numFmtId="0" fontId="10" fillId="3" borderId="11" xfId="0" applyFont="1" applyFill="1" applyBorder="1" applyAlignment="1">
      <alignment vertical="top"/>
    </xf>
    <xf numFmtId="0" fontId="10" fillId="3" borderId="11" xfId="0" applyFont="1" applyFill="1" applyBorder="1"/>
    <xf numFmtId="0" fontId="10" fillId="3" borderId="14" xfId="0" applyFont="1" applyFill="1" applyBorder="1"/>
    <xf numFmtId="0" fontId="10" fillId="3" borderId="16" xfId="0" applyFont="1" applyFill="1" applyBorder="1"/>
    <xf numFmtId="0" fontId="10" fillId="0" borderId="0" xfId="0" applyFont="1"/>
    <xf numFmtId="0" fontId="12" fillId="0" borderId="0" xfId="0" applyFont="1"/>
    <xf numFmtId="0" fontId="10" fillId="3" borderId="2" xfId="0" applyFont="1" applyFill="1" applyBorder="1"/>
    <xf numFmtId="0" fontId="10" fillId="3" borderId="17" xfId="0" applyFont="1" applyFill="1" applyBorder="1"/>
    <xf numFmtId="0" fontId="10" fillId="0" borderId="0" xfId="0" applyFont="1" applyBorder="1"/>
    <xf numFmtId="0" fontId="10" fillId="0" borderId="8" xfId="0" applyFont="1" applyBorder="1"/>
    <xf numFmtId="4" fontId="13" fillId="3" borderId="16" xfId="0" applyNumberFormat="1" applyFont="1" applyFill="1" applyBorder="1" applyAlignment="1">
      <alignment vertical="center"/>
    </xf>
    <xf numFmtId="4" fontId="13" fillId="0" borderId="0" xfId="0" applyNumberFormat="1" applyFont="1" applyBorder="1" applyAlignment="1">
      <alignment vertical="center"/>
    </xf>
    <xf numFmtId="4" fontId="1" fillId="3" borderId="7" xfId="0" applyNumberFormat="1" applyFont="1" applyFill="1" applyBorder="1" applyAlignment="1">
      <alignment vertical="center"/>
    </xf>
    <xf numFmtId="1" fontId="13" fillId="3" borderId="18" xfId="0" applyNumberFormat="1" applyFont="1" applyFill="1" applyBorder="1" applyAlignment="1">
      <alignment vertical="center"/>
    </xf>
    <xf numFmtId="1" fontId="13" fillId="0" borderId="0" xfId="0" applyNumberFormat="1" applyFont="1" applyBorder="1" applyAlignment="1">
      <alignment vertical="center"/>
    </xf>
    <xf numFmtId="4" fontId="13" fillId="3" borderId="14" xfId="0" applyNumberFormat="1" applyFont="1" applyFill="1" applyBorder="1" applyAlignment="1">
      <alignment vertical="center"/>
    </xf>
    <xf numFmtId="14" fontId="1" fillId="3" borderId="16" xfId="0" applyNumberFormat="1" applyFont="1" applyFill="1" applyBorder="1" applyAlignment="1">
      <alignment vertical="center"/>
    </xf>
    <xf numFmtId="14" fontId="1" fillId="0" borderId="0" xfId="0" applyNumberFormat="1" applyFont="1" applyBorder="1" applyAlignment="1">
      <alignment vertical="center"/>
    </xf>
    <xf numFmtId="14" fontId="1" fillId="0" borderId="8" xfId="0" applyNumberFormat="1" applyFont="1" applyBorder="1" applyAlignment="1">
      <alignment vertical="center"/>
    </xf>
    <xf numFmtId="0" fontId="1" fillId="0" borderId="4" xfId="0" applyFont="1" applyBorder="1"/>
    <xf numFmtId="0" fontId="1" fillId="0" borderId="6" xfId="0" applyFont="1" applyBorder="1"/>
    <xf numFmtId="0" fontId="1" fillId="0" borderId="3" xfId="0" applyFont="1" applyBorder="1"/>
    <xf numFmtId="0" fontId="1" fillId="0" borderId="0" xfId="0" applyFont="1" applyBorder="1" applyAlignment="1">
      <alignment horizontal="justify" vertical="center"/>
    </xf>
    <xf numFmtId="0" fontId="1" fillId="0" borderId="0" xfId="0" applyFont="1" applyAlignment="1">
      <alignment horizontal="justify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1" fillId="0" borderId="0" xfId="0" applyFont="1" applyAlignment="1">
      <alignment vertical="center"/>
    </xf>
    <xf numFmtId="14" fontId="14" fillId="3" borderId="15" xfId="0" applyNumberFormat="1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top"/>
    </xf>
    <xf numFmtId="0" fontId="10" fillId="3" borderId="2" xfId="0" applyFont="1" applyFill="1" applyBorder="1" applyAlignment="1">
      <alignment horizontal="center" vertical="top"/>
    </xf>
    <xf numFmtId="1" fontId="11" fillId="3" borderId="0" xfId="0" applyNumberFormat="1" applyFont="1" applyFill="1" applyBorder="1" applyAlignment="1">
      <alignment horizontal="center" vertical="center"/>
    </xf>
    <xf numFmtId="4" fontId="6" fillId="3" borderId="15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 vertical="justify"/>
    </xf>
    <xf numFmtId="0" fontId="11" fillId="3" borderId="15" xfId="0" applyFont="1" applyFill="1" applyBorder="1" applyAlignment="1">
      <alignment horizontal="left"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165" fontId="11" fillId="3" borderId="14" xfId="0" applyNumberFormat="1" applyFont="1" applyFill="1" applyBorder="1" applyAlignment="1">
      <alignment horizontal="center" vertical="center"/>
    </xf>
    <xf numFmtId="165" fontId="11" fillId="3" borderId="15" xfId="0" applyNumberFormat="1" applyFont="1" applyFill="1" applyBorder="1" applyAlignment="1">
      <alignment horizontal="center" vertical="center"/>
    </xf>
    <xf numFmtId="165" fontId="11" fillId="3" borderId="16" xfId="0" applyNumberFormat="1" applyFont="1" applyFill="1" applyBorder="1" applyAlignment="1">
      <alignment horizontal="center" vertical="center"/>
    </xf>
    <xf numFmtId="14" fontId="11" fillId="3" borderId="15" xfId="0" applyNumberFormat="1" applyFont="1" applyFill="1" applyBorder="1" applyAlignment="1">
      <alignment horizontal="center" vertical="center"/>
    </xf>
    <xf numFmtId="0" fontId="11" fillId="3" borderId="15" xfId="0" applyFont="1" applyFill="1" applyBorder="1" applyAlignment="1" applyProtection="1">
      <alignment horizontal="center" vertical="center"/>
      <protection locked="0"/>
    </xf>
    <xf numFmtId="164" fontId="11" fillId="3" borderId="15" xfId="0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1" fillId="0" borderId="0" xfId="0" applyFont="1" applyBorder="1" applyAlignment="1">
      <alignment horizontal="justify" vertical="center"/>
    </xf>
    <xf numFmtId="0" fontId="1" fillId="0" borderId="2" xfId="0" applyFont="1" applyBorder="1" applyAlignment="1">
      <alignment horizontal="justify" vertical="center"/>
    </xf>
    <xf numFmtId="0" fontId="1" fillId="0" borderId="0" xfId="0" applyFont="1" applyBorder="1" applyAlignment="1">
      <alignment horizontal="justify"/>
    </xf>
    <xf numFmtId="0" fontId="1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center"/>
    </xf>
    <xf numFmtId="0" fontId="9" fillId="0" borderId="5" xfId="0" applyFont="1" applyBorder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0" fontId="1" fillId="0" borderId="5" xfId="0" applyFont="1" applyBorder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Drop" dropStyle="combo" dx="22" fmlaLink="Planilha2!$A$13" fmlaRange="Planilha2!$B$1:$B$9" sel="6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29</xdr:row>
          <xdr:rowOff>0</xdr:rowOff>
        </xdr:from>
        <xdr:to>
          <xdr:col>24</xdr:col>
          <xdr:colOff>19050</xdr:colOff>
          <xdr:row>30</xdr:row>
          <xdr:rowOff>0</xdr:rowOff>
        </xdr:to>
        <xdr:sp macro="" textlink="">
          <xdr:nvSpPr>
            <xdr:cNvPr id="1029" name="Drop Dow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="" xmlns:a16="http://schemas.microsoft.com/office/drawing/2014/main" id="{0066CB44-A9D7-1676-0B59-1E21D6BAC6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10</xdr:col>
      <xdr:colOff>57150</xdr:colOff>
      <xdr:row>6</xdr:row>
      <xdr:rowOff>123826</xdr:rowOff>
    </xdr:to>
    <xdr:pic>
      <xdr:nvPicPr>
        <xdr:cNvPr id="3" name="Imagem 2">
          <a:extLst>
            <a:ext uri="{FF2B5EF4-FFF2-40B4-BE49-F238E27FC236}">
              <a16:creationId xmlns="" xmlns:a16="http://schemas.microsoft.com/office/drawing/2014/main" id="{566F72C1-94DA-0A6D-054E-36D843B06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00150" cy="12001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ilha1"/>
  <dimension ref="A1:BJ213"/>
  <sheetViews>
    <sheetView showGridLines="0" tabSelected="1" topLeftCell="A13" workbookViewId="0">
      <selection activeCell="CN36" sqref="CN36"/>
    </sheetView>
  </sheetViews>
  <sheetFormatPr defaultColWidth="1.75" defaultRowHeight="15" customHeight="1"/>
  <cols>
    <col min="1" max="4" width="1.75" style="16"/>
    <col min="5" max="5" width="1.75" style="16" customWidth="1"/>
    <col min="6" max="13" width="1.75" style="16"/>
    <col min="14" max="14" width="1.75" style="16" customWidth="1"/>
    <col min="15" max="15" width="1.75" style="16"/>
    <col min="16" max="16" width="1.75" style="16" customWidth="1"/>
    <col min="17" max="16384" width="1.75" style="16"/>
  </cols>
  <sheetData>
    <row r="1" spans="1:53" ht="14.25"/>
    <row r="2" spans="1:53" ht="15" customHeight="1">
      <c r="K2" s="77" t="s">
        <v>0</v>
      </c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</row>
    <row r="3" spans="1:53" ht="15" customHeight="1"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</row>
    <row r="4" spans="1:53" ht="15" customHeight="1">
      <c r="K4" s="76">
        <v>2026</v>
      </c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</row>
    <row r="5" spans="1:53" ht="14.25"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</row>
    <row r="6" spans="1:53" ht="9.9499999999999993" customHeight="1"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</row>
    <row r="7" spans="1:53" ht="16.350000000000001" customHeight="1">
      <c r="A7" s="18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88" t="s">
        <v>1</v>
      </c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103" t="str">
        <f>(IF(C10="","BRANCO",""))</f>
        <v/>
      </c>
      <c r="AW7" s="103"/>
      <c r="AX7" s="103"/>
      <c r="AY7" s="103"/>
      <c r="AZ7" s="103"/>
      <c r="BA7" s="18"/>
    </row>
    <row r="8" spans="1:53" ht="14.25">
      <c r="A8" s="21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4"/>
    </row>
    <row r="9" spans="1:53" ht="9.9499999999999993" customHeight="1">
      <c r="A9" s="25"/>
      <c r="B9" s="26" t="s">
        <v>2</v>
      </c>
      <c r="C9" s="27"/>
      <c r="D9" s="27"/>
      <c r="E9" s="27"/>
      <c r="F9" s="27"/>
      <c r="G9" s="27"/>
      <c r="H9" s="27"/>
      <c r="I9" s="27"/>
      <c r="J9" s="28"/>
      <c r="L9" s="26" t="s">
        <v>3</v>
      </c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8"/>
      <c r="BA9" s="24"/>
    </row>
    <row r="10" spans="1:53" ht="20.100000000000001" customHeight="1">
      <c r="A10" s="25"/>
      <c r="B10" s="29"/>
      <c r="C10" s="86"/>
      <c r="D10" s="86"/>
      <c r="E10" s="86"/>
      <c r="F10" s="86"/>
      <c r="G10" s="86"/>
      <c r="H10" s="86"/>
      <c r="I10" s="86"/>
      <c r="J10" s="30"/>
      <c r="L10" s="29"/>
      <c r="M10" s="78" t="str">
        <f>IFERROR(VLOOKUP(C10,Planilha3!A:L,2,FALSE),"")</f>
      </c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  <c r="AW10" s="78"/>
      <c r="AX10" s="78"/>
      <c r="AY10" s="78"/>
      <c r="AZ10" s="30"/>
      <c r="BA10" s="24"/>
    </row>
    <row r="11" spans="1:53" ht="5.0999999999999996" customHeight="1">
      <c r="A11" s="25"/>
      <c r="BA11" s="24"/>
    </row>
    <row r="12" spans="1:53" ht="9.9499999999999993" customHeight="1">
      <c r="A12" s="25"/>
      <c r="B12" s="26" t="s">
        <v>4</v>
      </c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2"/>
      <c r="T12" s="33"/>
      <c r="U12" s="26" t="s">
        <v>5</v>
      </c>
      <c r="V12" s="31"/>
      <c r="W12" s="31"/>
      <c r="X12" s="31"/>
      <c r="Y12" s="31"/>
      <c r="Z12" s="31"/>
      <c r="AA12" s="31"/>
      <c r="AB12" s="31"/>
      <c r="AC12" s="32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24"/>
    </row>
    <row r="13" spans="1:53" ht="20.100000000000001" customHeight="1">
      <c r="A13" s="25"/>
      <c r="B13" s="29"/>
      <c r="C13" s="78" t="str">
        <f>IFERROR(VLOOKUP(C10,Planilha3!A:L,3,FALSE),"")</f>
      </c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35"/>
      <c r="T13" s="36"/>
      <c r="U13" s="29"/>
      <c r="V13" s="85">
        <f>IFERROR(VLOOKUP(C10,Planilha3!A:M,13,FALSE),"")</f>
      </c>
      <c r="W13" s="85"/>
      <c r="X13" s="85"/>
      <c r="Y13" s="85"/>
      <c r="Z13" s="85"/>
      <c r="AA13" s="85"/>
      <c r="AB13" s="85"/>
      <c r="AC13" s="30"/>
      <c r="BA13" s="24"/>
    </row>
    <row r="14" spans="1:53" ht="5.0999999999999996" customHeight="1">
      <c r="A14" s="25"/>
      <c r="BA14" s="24"/>
    </row>
    <row r="15" spans="1:53" ht="9.9499999999999993" customHeight="1">
      <c r="A15" s="25"/>
      <c r="B15" s="26" t="s">
        <v>6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8"/>
      <c r="BA15" s="24"/>
    </row>
    <row r="16" spans="1:53" ht="20.100000000000001" customHeight="1">
      <c r="A16" s="25"/>
      <c r="B16" s="29"/>
      <c r="C16" s="78" t="str">
        <f>IFERROR(VLOOKUP(C10,Planilha3!A:L,4,FALSE),"")</f>
      </c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8"/>
      <c r="AW16" s="78"/>
      <c r="AX16" s="78"/>
      <c r="AY16" s="78"/>
      <c r="AZ16" s="30"/>
      <c r="BA16" s="24"/>
    </row>
    <row r="17" spans="1:53" ht="5.0999999999999996" customHeight="1">
      <c r="A17" s="25"/>
      <c r="BA17" s="24"/>
    </row>
    <row r="18" spans="1:53" ht="9.9499999999999993" customHeight="1">
      <c r="A18" s="25"/>
      <c r="B18" s="26" t="s">
        <v>7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1"/>
      <c r="P18" s="39"/>
      <c r="Q18" s="39"/>
      <c r="R18" s="39"/>
      <c r="S18" s="40"/>
      <c r="T18" s="41"/>
      <c r="U18" s="42" t="s">
        <v>8</v>
      </c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2"/>
      <c r="AH18" s="41"/>
      <c r="AI18" s="26" t="s">
        <v>9</v>
      </c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40"/>
      <c r="BA18" s="24"/>
    </row>
    <row r="19" spans="1:53" ht="20.100000000000001" customHeight="1">
      <c r="A19" s="25"/>
      <c r="B19" s="29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30"/>
      <c r="U19" s="29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30"/>
      <c r="AI19" s="29"/>
      <c r="AJ19" s="87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  <c r="AY19" s="87"/>
      <c r="AZ19" s="30"/>
      <c r="BA19" s="24"/>
    </row>
    <row r="20" spans="1:53" ht="5.0999999999999996" customHeight="1">
      <c r="A20" s="25"/>
      <c r="BA20" s="24"/>
    </row>
    <row r="21" spans="1:53" ht="9.9499999999999993" customHeight="1">
      <c r="A21" s="25"/>
      <c r="B21" s="43" t="s">
        <v>10</v>
      </c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8"/>
      <c r="BA21" s="24"/>
    </row>
    <row r="22" spans="1:53" ht="20.100000000000001" customHeight="1">
      <c r="A22" s="25"/>
      <c r="B22" s="44"/>
      <c r="C22" s="78" t="str">
        <f>IFERROR(VLOOKUP(C10,Planilha3!A:L,8,FALSE),"")</f>
      </c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78"/>
      <c r="AT22" s="78"/>
      <c r="AU22" s="78"/>
      <c r="AV22" s="78"/>
      <c r="AW22" s="78"/>
      <c r="AX22" s="78"/>
      <c r="AY22" s="78"/>
      <c r="AZ22" s="45"/>
      <c r="BA22" s="24"/>
    </row>
    <row r="23" spans="1:53" ht="5.0999999999999996" customHeight="1">
      <c r="A23" s="25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24"/>
    </row>
    <row r="24" spans="1:53" ht="9.9499999999999993" customHeight="1">
      <c r="A24" s="25"/>
      <c r="B24" s="43" t="s">
        <v>11</v>
      </c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8"/>
      <c r="T24" s="46"/>
      <c r="U24" s="43" t="s">
        <v>12</v>
      </c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8"/>
      <c r="AO24" s="46"/>
      <c r="AP24" s="43" t="s">
        <v>13</v>
      </c>
      <c r="AQ24" s="37"/>
      <c r="AR24" s="38"/>
      <c r="AS24" s="46"/>
      <c r="AT24" s="43" t="s">
        <v>14</v>
      </c>
      <c r="AU24" s="37"/>
      <c r="AV24" s="37"/>
      <c r="AW24" s="37"/>
      <c r="AX24" s="37"/>
      <c r="AY24" s="37"/>
      <c r="AZ24" s="38"/>
      <c r="BA24" s="24"/>
    </row>
    <row r="25" spans="1:53" ht="20.100000000000001" customHeight="1">
      <c r="A25" s="25"/>
      <c r="B25" s="44"/>
      <c r="C25" s="78" t="str">
        <f>IFERROR(VLOOKUP(Planilha1!C10,Planilha3!A:L,9,FALSE),"")</f>
      </c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45"/>
      <c r="T25" s="46"/>
      <c r="U25" s="44"/>
      <c r="V25" s="78" t="str">
        <f>IFERROR(VLOOKUP(C10,Planilha3!A:L,10,FALSE),"")</f>
      </c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45"/>
      <c r="AO25" s="46"/>
      <c r="AP25" s="79" t="str">
        <f>IFERROR(VLOOKUP(C10,Planilha3!A:L,11,FALSE),"")</f>
      </c>
      <c r="AQ25" s="80"/>
      <c r="AR25" s="81"/>
      <c r="AS25" s="46"/>
      <c r="AT25" s="82">
        <f>IFERROR(VLOOKUP(C10,Planilha3!A:L,12,FALSE),"")</f>
      </c>
      <c r="AU25" s="83"/>
      <c r="AV25" s="83"/>
      <c r="AW25" s="83"/>
      <c r="AX25" s="83"/>
      <c r="AY25" s="83"/>
      <c r="AZ25" s="84"/>
      <c r="BA25" s="24"/>
    </row>
    <row r="26" spans="1:53" ht="5.0999999999999996" customHeight="1">
      <c r="A26" s="25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24"/>
    </row>
    <row r="27" spans="1:53" ht="14.25">
      <c r="A27" s="25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24"/>
    </row>
    <row r="28" spans="1:53" ht="5.0999999999999996" customHeight="1">
      <c r="A28" s="25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24"/>
    </row>
    <row r="29" spans="1:53" ht="9.9499999999999993" customHeight="1">
      <c r="A29" s="25"/>
      <c r="B29" s="47" t="s">
        <v>15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2" t="s">
        <v>16</v>
      </c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40"/>
      <c r="AP29" s="41"/>
      <c r="AQ29" s="42" t="s">
        <v>17</v>
      </c>
      <c r="AR29" s="39"/>
      <c r="AS29" s="39"/>
      <c r="AT29" s="39"/>
      <c r="AU29" s="39"/>
      <c r="AV29" s="39"/>
      <c r="AW29" s="39"/>
      <c r="AX29" s="39"/>
      <c r="AY29" s="39"/>
      <c r="AZ29" s="40"/>
      <c r="BA29" s="24"/>
    </row>
    <row r="30" spans="1:53" ht="20.100000000000001" customHeight="1">
      <c r="A30" s="25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29"/>
      <c r="AA30" s="71" t="str">
        <f>IF(AV7="BRANCO","",IFERROR(VLOOKUP(Planilha2!A13,Planilha2!A1:F9,3,FALSE),""))</f>
      </c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30"/>
      <c r="AP30" s="36"/>
      <c r="AQ30" s="29"/>
      <c r="AR30" s="71" t="s">
        <v>18</v>
      </c>
      <c r="AS30" s="71"/>
      <c r="AT30" s="71"/>
      <c r="AU30" s="71"/>
      <c r="AV30" s="71"/>
      <c r="AW30" s="71"/>
      <c r="AX30" s="71"/>
      <c r="AY30" s="71"/>
      <c r="AZ30" s="30"/>
      <c r="BA30" s="24"/>
    </row>
    <row r="31" spans="1:53" ht="5.0999999999999996" customHeight="1">
      <c r="A31" s="25"/>
      <c r="BA31" s="24"/>
    </row>
    <row r="32" spans="1:53" ht="9.9499999999999993" customHeight="1">
      <c r="A32" s="25"/>
      <c r="B32" s="42" t="s">
        <v>19</v>
      </c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8"/>
      <c r="Y32" s="46"/>
      <c r="Z32" s="42" t="s">
        <v>20</v>
      </c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8"/>
      <c r="BA32" s="24"/>
    </row>
    <row r="33" spans="1:59" ht="20.100000000000001" customHeight="1">
      <c r="A33" s="25"/>
      <c r="B33" s="29"/>
      <c r="C33" s="71" t="str">
        <f>IF(AV7="BRANCO","",IFERROR(VLOOKUP(Planilha2!A13,Planilha2!A1:G9,4,FALSE),""))</f>
      </c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30"/>
      <c r="Z33" s="29"/>
      <c r="AA33" s="71" t="str">
        <f>IF(AV7="BRANCO","",IFERROR(VLOOKUP(Planilha2!A13,Planilha2!A1:G9,5,FALSE),""))</f>
      </c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30"/>
      <c r="BA33" s="24"/>
    </row>
    <row r="34" spans="1:59" ht="5.0999999999999996" customHeight="1">
      <c r="A34" s="25"/>
      <c r="BA34" s="24"/>
    </row>
    <row r="35" spans="1:59" ht="9.9499999999999993" customHeight="1">
      <c r="A35" s="25"/>
      <c r="B35" s="42" t="s">
        <v>21</v>
      </c>
      <c r="C35" s="37"/>
      <c r="D35" s="37"/>
      <c r="E35" s="31"/>
      <c r="F35" s="31"/>
      <c r="G35" s="37"/>
      <c r="H35" s="37"/>
      <c r="I35" s="37"/>
      <c r="J35" s="37"/>
      <c r="K35" s="38"/>
      <c r="L35" s="46"/>
      <c r="M35" s="72" t="s">
        <v>22</v>
      </c>
      <c r="N35" s="73"/>
      <c r="O35" s="73"/>
      <c r="P35" s="73"/>
      <c r="Q35" s="73"/>
      <c r="R35" s="48"/>
      <c r="S35" s="49"/>
      <c r="T35" s="46"/>
      <c r="U35" s="42" t="s">
        <v>23</v>
      </c>
      <c r="V35" s="37"/>
      <c r="W35" s="37"/>
      <c r="X35" s="31"/>
      <c r="Y35" s="31"/>
      <c r="Z35" s="37"/>
      <c r="AA35" s="37"/>
      <c r="AB35" s="37"/>
      <c r="AC35" s="37"/>
      <c r="AD35" s="38"/>
      <c r="AE35" s="46"/>
      <c r="AF35" s="42" t="str">
        <f>"Vencimento parc.1/"&amp;N36</f>
      </c>
      <c r="AG35" s="37"/>
      <c r="AH35" s="37"/>
      <c r="AI35" s="37"/>
      <c r="AJ35" s="37"/>
      <c r="AK35" s="37"/>
      <c r="AL35" s="37"/>
      <c r="AM35" s="37"/>
      <c r="AN35" s="39"/>
      <c r="AO35" s="38"/>
      <c r="AP35" s="50"/>
      <c r="AQ35" s="42" t="str">
        <f>"Vencimento parc."&amp;N36&amp;"/"&amp;N36</f>
      </c>
      <c r="AR35" s="37"/>
      <c r="AS35" s="37"/>
      <c r="AT35" s="37"/>
      <c r="AU35" s="37"/>
      <c r="AV35" s="37"/>
      <c r="AW35" s="37"/>
      <c r="AX35" s="37"/>
      <c r="AY35" s="39"/>
      <c r="AZ35" s="38"/>
      <c r="BA35" s="51"/>
      <c r="BB35" s="50"/>
      <c r="BC35" s="36"/>
      <c r="BD35" s="36"/>
      <c r="BE35" s="36"/>
      <c r="BF35" s="36"/>
      <c r="BG35" s="36"/>
    </row>
    <row r="36" spans="1:59" ht="20.100000000000001" customHeight="1">
      <c r="A36" s="25"/>
      <c r="B36" s="29"/>
      <c r="C36" s="75">
        <f>IF(AV7="BRANCO","",IFERROR(VLOOKUP(Planilha2!A13,Planilha2!A1:G9,6,FALSE),""))</f>
      </c>
      <c r="D36" s="75"/>
      <c r="E36" s="75"/>
      <c r="F36" s="75"/>
      <c r="G36" s="75"/>
      <c r="H36" s="75"/>
      <c r="I36" s="75"/>
      <c r="J36" s="75"/>
      <c r="K36" s="52"/>
      <c r="L36" s="53"/>
      <c r="M36" s="54"/>
      <c r="N36" s="74">
        <v>7</v>
      </c>
      <c r="O36" s="74"/>
      <c r="P36" s="74"/>
      <c r="Q36" s="74"/>
      <c r="R36" s="74"/>
      <c r="S36" s="55"/>
      <c r="T36" s="56"/>
      <c r="U36" s="29"/>
      <c r="V36" s="75">
        <f>IF(AV7="BRANCO","",N36*C36)</f>
      </c>
      <c r="W36" s="75"/>
      <c r="X36" s="75"/>
      <c r="Y36" s="75"/>
      <c r="Z36" s="75"/>
      <c r="AA36" s="75"/>
      <c r="AB36" s="75"/>
      <c r="AC36" s="75"/>
      <c r="AD36" s="52"/>
      <c r="AE36" s="53"/>
      <c r="AF36" s="57"/>
      <c r="AG36" s="70">
        <v>46152</v>
      </c>
      <c r="AH36" s="70"/>
      <c r="AI36" s="70"/>
      <c r="AJ36" s="70"/>
      <c r="AK36" s="70"/>
      <c r="AL36" s="70"/>
      <c r="AM36" s="70"/>
      <c r="AN36" s="70"/>
      <c r="AO36" s="58"/>
      <c r="AP36" s="59"/>
      <c r="AQ36" s="57"/>
      <c r="AR36" s="70">
        <v>46336</v>
      </c>
      <c r="AS36" s="70"/>
      <c r="AT36" s="70"/>
      <c r="AU36" s="70"/>
      <c r="AV36" s="70"/>
      <c r="AW36" s="70"/>
      <c r="AX36" s="70"/>
      <c r="AY36" s="70"/>
      <c r="AZ36" s="58"/>
      <c r="BA36" s="60"/>
      <c r="BB36" s="59"/>
      <c r="BC36" s="36"/>
      <c r="BD36" s="36"/>
      <c r="BE36" s="36"/>
      <c r="BF36" s="36"/>
      <c r="BG36" s="36"/>
    </row>
    <row r="37" spans="1:59" ht="14.25">
      <c r="A37" s="61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62"/>
    </row>
    <row r="38" spans="1:59" ht="5.0999999999999996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</row>
    <row r="39" spans="1:59" ht="15" customHeight="1">
      <c r="A39" s="21"/>
      <c r="B39" s="91" t="s">
        <v>24</v>
      </c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1"/>
      <c r="AO39" s="91"/>
      <c r="AP39" s="91"/>
      <c r="AQ39" s="91"/>
      <c r="AR39" s="91"/>
      <c r="AS39" s="91"/>
      <c r="AT39" s="91"/>
      <c r="AU39" s="91"/>
      <c r="AV39" s="91"/>
      <c r="AW39" s="91"/>
      <c r="AX39" s="91"/>
      <c r="AY39" s="91"/>
      <c r="AZ39" s="91"/>
      <c r="BA39" s="63"/>
    </row>
    <row r="40" spans="1:59" ht="15" customHeight="1">
      <c r="A40" s="25"/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0"/>
      <c r="AU40" s="90"/>
      <c r="AV40" s="90"/>
      <c r="AW40" s="90"/>
      <c r="AX40" s="90"/>
      <c r="AY40" s="90"/>
      <c r="AZ40" s="90"/>
      <c r="BA40" s="24"/>
    </row>
    <row r="41" spans="1:59" ht="15" customHeight="1">
      <c r="A41" s="25"/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Y41" s="90"/>
      <c r="AZ41" s="90"/>
      <c r="BA41" s="24"/>
    </row>
    <row r="42" spans="1:59" ht="15" customHeight="1">
      <c r="A42" s="25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90"/>
      <c r="AG42" s="90"/>
      <c r="AH42" s="90"/>
      <c r="AI42" s="90"/>
      <c r="AJ42" s="90"/>
      <c r="AK42" s="90"/>
      <c r="AL42" s="90"/>
      <c r="AM42" s="90"/>
      <c r="AN42" s="90"/>
      <c r="AO42" s="90"/>
      <c r="AP42" s="90"/>
      <c r="AQ42" s="90"/>
      <c r="AR42" s="90"/>
      <c r="AS42" s="90"/>
      <c r="AT42" s="90"/>
      <c r="AU42" s="90"/>
      <c r="AV42" s="90"/>
      <c r="AW42" s="90"/>
      <c r="AX42" s="90"/>
      <c r="AY42" s="90"/>
      <c r="AZ42" s="90"/>
      <c r="BA42" s="24"/>
    </row>
    <row r="43" spans="1:59" ht="14.25">
      <c r="A43" s="25"/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90"/>
      <c r="AE43" s="90"/>
      <c r="AF43" s="90"/>
      <c r="AG43" s="90"/>
      <c r="AH43" s="90"/>
      <c r="AI43" s="90"/>
      <c r="AJ43" s="90"/>
      <c r="AK43" s="90"/>
      <c r="AL43" s="90"/>
      <c r="AM43" s="90"/>
      <c r="AN43" s="90"/>
      <c r="AO43" s="90"/>
      <c r="AP43" s="90"/>
      <c r="AQ43" s="90"/>
      <c r="AR43" s="90"/>
      <c r="AS43" s="90"/>
      <c r="AT43" s="90"/>
      <c r="AU43" s="90"/>
      <c r="AV43" s="90"/>
      <c r="AW43" s="90"/>
      <c r="AX43" s="90"/>
      <c r="AY43" s="90"/>
      <c r="AZ43" s="90"/>
      <c r="BA43" s="24"/>
    </row>
    <row r="44" spans="1:59" ht="5.0999999999999996" customHeight="1">
      <c r="A44" s="25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24"/>
    </row>
    <row r="45" spans="1:59" ht="14.25">
      <c r="A45" s="25"/>
      <c r="B45" s="92" t="s">
        <v>25</v>
      </c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2"/>
      <c r="AE45" s="92"/>
      <c r="AF45" s="92"/>
      <c r="AG45" s="92"/>
      <c r="AH45" s="92"/>
      <c r="AI45" s="92"/>
      <c r="AJ45" s="92"/>
      <c r="AK45" s="92"/>
      <c r="AL45" s="92"/>
      <c r="AM45" s="92"/>
      <c r="AN45" s="92"/>
      <c r="AO45" s="92"/>
      <c r="AP45" s="92"/>
      <c r="AQ45" s="92"/>
      <c r="AR45" s="92"/>
      <c r="AS45" s="92"/>
      <c r="AT45" s="92"/>
      <c r="AU45" s="92"/>
      <c r="AV45" s="92"/>
      <c r="AW45" s="92"/>
      <c r="AX45" s="92"/>
      <c r="AY45" s="92"/>
      <c r="AZ45" s="92"/>
      <c r="BA45" s="24"/>
    </row>
    <row r="46" spans="1:59" ht="14.25">
      <c r="A46" s="25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92"/>
      <c r="AF46" s="92"/>
      <c r="AG46" s="92"/>
      <c r="AH46" s="92"/>
      <c r="AI46" s="92"/>
      <c r="AJ46" s="92"/>
      <c r="AK46" s="92"/>
      <c r="AL46" s="92"/>
      <c r="AM46" s="92"/>
      <c r="AN46" s="92"/>
      <c r="AO46" s="92"/>
      <c r="AP46" s="92"/>
      <c r="AQ46" s="92"/>
      <c r="AR46" s="92"/>
      <c r="AS46" s="92"/>
      <c r="AT46" s="92"/>
      <c r="AU46" s="92"/>
      <c r="AV46" s="92"/>
      <c r="AW46" s="92"/>
      <c r="AX46" s="92"/>
      <c r="AY46" s="92"/>
      <c r="AZ46" s="92"/>
      <c r="BA46" s="24"/>
    </row>
    <row r="47" spans="1:59" ht="14.25">
      <c r="A47" s="25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24"/>
    </row>
    <row r="48" spans="1:59" ht="14.25">
      <c r="A48" s="25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24"/>
    </row>
    <row r="49" spans="1:53" ht="15" customHeight="1">
      <c r="A49" s="25"/>
      <c r="B49" s="93" t="s">
        <v>26</v>
      </c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  <c r="AM49" s="93"/>
      <c r="AN49" s="93"/>
      <c r="AO49" s="93"/>
      <c r="AP49" s="93"/>
      <c r="AQ49" s="93"/>
      <c r="AR49" s="93"/>
      <c r="AS49" s="93"/>
      <c r="AT49" s="93"/>
      <c r="AU49" s="93"/>
      <c r="AV49" s="93"/>
      <c r="AW49" s="93"/>
      <c r="AX49" s="93"/>
      <c r="AY49" s="93"/>
      <c r="AZ49" s="93"/>
      <c r="BA49" s="24"/>
    </row>
    <row r="50" spans="1:53" ht="5.0999999999999996" customHeight="1">
      <c r="A50" s="25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24"/>
    </row>
    <row r="51" spans="1:53" ht="15" customHeight="1">
      <c r="A51" s="25"/>
      <c r="B51" s="90" t="s">
        <v>27</v>
      </c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  <c r="AC51" s="90"/>
      <c r="AD51" s="90"/>
      <c r="AE51" s="90"/>
      <c r="AF51" s="90"/>
      <c r="AG51" s="90"/>
      <c r="AH51" s="90"/>
      <c r="AI51" s="90"/>
      <c r="AJ51" s="90"/>
      <c r="AK51" s="90"/>
      <c r="AL51" s="90"/>
      <c r="AM51" s="90"/>
      <c r="AN51" s="90"/>
      <c r="AO51" s="90"/>
      <c r="AP51" s="90"/>
      <c r="AQ51" s="90"/>
      <c r="AR51" s="90"/>
      <c r="AS51" s="90"/>
      <c r="AT51" s="90"/>
      <c r="AU51" s="90"/>
      <c r="AV51" s="90"/>
      <c r="AW51" s="90"/>
      <c r="AX51" s="90"/>
      <c r="AY51" s="90"/>
      <c r="AZ51" s="90"/>
      <c r="BA51" s="24"/>
    </row>
    <row r="52" spans="1:53" ht="15" customHeight="1">
      <c r="A52" s="25"/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0"/>
      <c r="AB52" s="90"/>
      <c r="AC52" s="90"/>
      <c r="AD52" s="90"/>
      <c r="AE52" s="90"/>
      <c r="AF52" s="90"/>
      <c r="AG52" s="90"/>
      <c r="AH52" s="90"/>
      <c r="AI52" s="90"/>
      <c r="AJ52" s="90"/>
      <c r="AK52" s="90"/>
      <c r="AL52" s="90"/>
      <c r="AM52" s="90"/>
      <c r="AN52" s="90"/>
      <c r="AO52" s="90"/>
      <c r="AP52" s="90"/>
      <c r="AQ52" s="90"/>
      <c r="AR52" s="90"/>
      <c r="AS52" s="90"/>
      <c r="AT52" s="90"/>
      <c r="AU52" s="90"/>
      <c r="AV52" s="90"/>
      <c r="AW52" s="90"/>
      <c r="AX52" s="90"/>
      <c r="AY52" s="90"/>
      <c r="AZ52" s="90"/>
      <c r="BA52" s="24"/>
    </row>
    <row r="53" spans="1:53" ht="15" customHeight="1">
      <c r="A53" s="25"/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0"/>
      <c r="AK53" s="90"/>
      <c r="AL53" s="90"/>
      <c r="AM53" s="90"/>
      <c r="AN53" s="90"/>
      <c r="AO53" s="90"/>
      <c r="AP53" s="90"/>
      <c r="AQ53" s="90"/>
      <c r="AR53" s="90"/>
      <c r="AS53" s="90"/>
      <c r="AT53" s="90"/>
      <c r="AU53" s="90"/>
      <c r="AV53" s="90"/>
      <c r="AW53" s="90"/>
      <c r="AX53" s="90"/>
      <c r="AY53" s="90"/>
      <c r="AZ53" s="90"/>
      <c r="BA53" s="24"/>
    </row>
    <row r="54" spans="1:53" ht="14.25">
      <c r="A54" s="25"/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  <c r="AA54" s="90"/>
      <c r="AB54" s="90"/>
      <c r="AC54" s="90"/>
      <c r="AD54" s="90"/>
      <c r="AE54" s="90"/>
      <c r="AF54" s="90"/>
      <c r="AG54" s="90"/>
      <c r="AH54" s="90"/>
      <c r="AI54" s="90"/>
      <c r="AJ54" s="90"/>
      <c r="AK54" s="90"/>
      <c r="AL54" s="90"/>
      <c r="AM54" s="90"/>
      <c r="AN54" s="90"/>
      <c r="AO54" s="90"/>
      <c r="AP54" s="90"/>
      <c r="AQ54" s="90"/>
      <c r="AR54" s="90"/>
      <c r="AS54" s="90"/>
      <c r="AT54" s="90"/>
      <c r="AU54" s="90"/>
      <c r="AV54" s="90"/>
      <c r="AW54" s="90"/>
      <c r="AX54" s="90"/>
      <c r="AY54" s="90"/>
      <c r="AZ54" s="90"/>
      <c r="BA54" s="24"/>
    </row>
    <row r="55" spans="1:53" ht="14.25">
      <c r="A55" s="25"/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0"/>
      <c r="AB55" s="90"/>
      <c r="AC55" s="90"/>
      <c r="AD55" s="90"/>
      <c r="AE55" s="90"/>
      <c r="AF55" s="90"/>
      <c r="AG55" s="90"/>
      <c r="AH55" s="90"/>
      <c r="AI55" s="90"/>
      <c r="AJ55" s="90"/>
      <c r="AK55" s="90"/>
      <c r="AL55" s="90"/>
      <c r="AM55" s="90"/>
      <c r="AN55" s="90"/>
      <c r="AO55" s="90"/>
      <c r="AP55" s="90"/>
      <c r="AQ55" s="90"/>
      <c r="AR55" s="90"/>
      <c r="AS55" s="90"/>
      <c r="AT55" s="90"/>
      <c r="AU55" s="90"/>
      <c r="AV55" s="90"/>
      <c r="AW55" s="90"/>
      <c r="AX55" s="90"/>
      <c r="AY55" s="90"/>
      <c r="AZ55" s="90"/>
      <c r="BA55" s="24"/>
    </row>
    <row r="56" spans="1:53" ht="5.0999999999999996" customHeight="1">
      <c r="A56" s="25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24"/>
    </row>
    <row r="57" spans="1:53" ht="5.0999999999999996" customHeight="1">
      <c r="A57" s="25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24"/>
    </row>
    <row r="58" spans="1:53" ht="15" customHeight="1">
      <c r="A58" s="25"/>
      <c r="B58" s="90" t="s">
        <v>28</v>
      </c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0"/>
      <c r="AG58" s="90"/>
      <c r="AH58" s="90"/>
      <c r="AI58" s="90"/>
      <c r="AJ58" s="90"/>
      <c r="AK58" s="90"/>
      <c r="AL58" s="90"/>
      <c r="AM58" s="90"/>
      <c r="AN58" s="90"/>
      <c r="AO58" s="90"/>
      <c r="AP58" s="90"/>
      <c r="AQ58" s="90"/>
      <c r="AR58" s="90"/>
      <c r="AS58" s="90"/>
      <c r="AT58" s="90"/>
      <c r="AU58" s="90"/>
      <c r="AV58" s="90"/>
      <c r="AW58" s="90"/>
      <c r="AX58" s="90"/>
      <c r="AY58" s="90"/>
      <c r="AZ58" s="90"/>
      <c r="BA58" s="24"/>
    </row>
    <row r="59" spans="1:53" ht="15" customHeight="1">
      <c r="A59" s="25"/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90"/>
      <c r="AG59" s="90"/>
      <c r="AH59" s="90"/>
      <c r="AI59" s="90"/>
      <c r="AJ59" s="90"/>
      <c r="AK59" s="90"/>
      <c r="AL59" s="90"/>
      <c r="AM59" s="90"/>
      <c r="AN59" s="90"/>
      <c r="AO59" s="90"/>
      <c r="AP59" s="90"/>
      <c r="AQ59" s="90"/>
      <c r="AR59" s="90"/>
      <c r="AS59" s="90"/>
      <c r="AT59" s="90"/>
      <c r="AU59" s="90"/>
      <c r="AV59" s="90"/>
      <c r="AW59" s="90"/>
      <c r="AX59" s="90"/>
      <c r="AY59" s="90"/>
      <c r="AZ59" s="90"/>
      <c r="BA59" s="24"/>
    </row>
    <row r="60" spans="1:53" ht="15" customHeight="1">
      <c r="A60" s="25"/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0"/>
      <c r="AE60" s="90"/>
      <c r="AF60" s="90"/>
      <c r="AG60" s="90"/>
      <c r="AH60" s="90"/>
      <c r="AI60" s="90"/>
      <c r="AJ60" s="90"/>
      <c r="AK60" s="90"/>
      <c r="AL60" s="90"/>
      <c r="AM60" s="90"/>
      <c r="AN60" s="90"/>
      <c r="AO60" s="90"/>
      <c r="AP60" s="90"/>
      <c r="AQ60" s="90"/>
      <c r="AR60" s="90"/>
      <c r="AS60" s="90"/>
      <c r="AT60" s="90"/>
      <c r="AU60" s="90"/>
      <c r="AV60" s="90"/>
      <c r="AW60" s="90"/>
      <c r="AX60" s="90"/>
      <c r="AY60" s="90"/>
      <c r="AZ60" s="90"/>
      <c r="BA60" s="24"/>
    </row>
    <row r="61" spans="1:53" ht="15" customHeight="1">
      <c r="A61" s="25"/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24"/>
    </row>
    <row r="62" spans="1:53" ht="5.0999999999999996" customHeight="1">
      <c r="A62" s="25"/>
      <c r="B62" s="64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24"/>
    </row>
    <row r="63" spans="1:53" ht="15" customHeight="1">
      <c r="A63" s="25"/>
      <c r="B63" s="90" t="s">
        <v>29</v>
      </c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0"/>
      <c r="AK63" s="90"/>
      <c r="AL63" s="90"/>
      <c r="AM63" s="90"/>
      <c r="AN63" s="90"/>
      <c r="AO63" s="90"/>
      <c r="AP63" s="90"/>
      <c r="AQ63" s="90"/>
      <c r="AR63" s="90"/>
      <c r="AS63" s="90"/>
      <c r="AT63" s="90"/>
      <c r="AU63" s="90"/>
      <c r="AV63" s="90"/>
      <c r="AW63" s="90"/>
      <c r="AX63" s="90"/>
      <c r="AY63" s="90"/>
      <c r="AZ63" s="90"/>
      <c r="BA63" s="24"/>
    </row>
    <row r="64" spans="1:53" ht="15" customHeight="1">
      <c r="A64" s="25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90"/>
      <c r="AH64" s="90"/>
      <c r="AI64" s="90"/>
      <c r="AJ64" s="90"/>
      <c r="AK64" s="90"/>
      <c r="AL64" s="90"/>
      <c r="AM64" s="90"/>
      <c r="AN64" s="90"/>
      <c r="AO64" s="90"/>
      <c r="AP64" s="90"/>
      <c r="AQ64" s="90"/>
      <c r="AR64" s="90"/>
      <c r="AS64" s="90"/>
      <c r="AT64" s="90"/>
      <c r="AU64" s="90"/>
      <c r="AV64" s="90"/>
      <c r="AW64" s="90"/>
      <c r="AX64" s="90"/>
      <c r="AY64" s="90"/>
      <c r="AZ64" s="90"/>
      <c r="BA64" s="24"/>
    </row>
    <row r="65" spans="1:53" ht="15" customHeight="1">
      <c r="A65" s="25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0"/>
      <c r="AH65" s="90"/>
      <c r="AI65" s="90"/>
      <c r="AJ65" s="90"/>
      <c r="AK65" s="90"/>
      <c r="AL65" s="90"/>
      <c r="AM65" s="90"/>
      <c r="AN65" s="90"/>
      <c r="AO65" s="90"/>
      <c r="AP65" s="90"/>
      <c r="AQ65" s="90"/>
      <c r="AR65" s="90"/>
      <c r="AS65" s="90"/>
      <c r="AT65" s="90"/>
      <c r="AU65" s="90"/>
      <c r="AV65" s="90"/>
      <c r="AW65" s="90"/>
      <c r="AX65" s="90"/>
      <c r="AY65" s="90"/>
      <c r="AZ65" s="90"/>
      <c r="BA65" s="24"/>
    </row>
    <row r="66" spans="1:53" ht="15" customHeight="1">
      <c r="A66" s="25"/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90"/>
      <c r="AH66" s="90"/>
      <c r="AI66" s="90"/>
      <c r="AJ66" s="90"/>
      <c r="AK66" s="90"/>
      <c r="AL66" s="90"/>
      <c r="AM66" s="90"/>
      <c r="AN66" s="90"/>
      <c r="AO66" s="90"/>
      <c r="AP66" s="90"/>
      <c r="AQ66" s="90"/>
      <c r="AR66" s="90"/>
      <c r="AS66" s="90"/>
      <c r="AT66" s="90"/>
      <c r="AU66" s="90"/>
      <c r="AV66" s="90"/>
      <c r="AW66" s="90"/>
      <c r="AX66" s="90"/>
      <c r="AY66" s="90"/>
      <c r="AZ66" s="90"/>
      <c r="BA66" s="24"/>
    </row>
    <row r="67" spans="1:53" ht="15" customHeight="1">
      <c r="A67" s="25"/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90"/>
      <c r="AG67" s="90"/>
      <c r="AH67" s="90"/>
      <c r="AI67" s="90"/>
      <c r="AJ67" s="90"/>
      <c r="AK67" s="90"/>
      <c r="AL67" s="90"/>
      <c r="AM67" s="90"/>
      <c r="AN67" s="90"/>
      <c r="AO67" s="90"/>
      <c r="AP67" s="90"/>
      <c r="AQ67" s="90"/>
      <c r="AR67" s="90"/>
      <c r="AS67" s="90"/>
      <c r="AT67" s="90"/>
      <c r="AU67" s="90"/>
      <c r="AV67" s="90"/>
      <c r="AW67" s="90"/>
      <c r="AX67" s="90"/>
      <c r="AY67" s="90"/>
      <c r="AZ67" s="90"/>
      <c r="BA67" s="24"/>
    </row>
    <row r="68" spans="1:53" ht="15" customHeight="1">
      <c r="A68" s="25"/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  <c r="AD68" s="90"/>
      <c r="AE68" s="90"/>
      <c r="AF68" s="90"/>
      <c r="AG68" s="90"/>
      <c r="AH68" s="90"/>
      <c r="AI68" s="90"/>
      <c r="AJ68" s="90"/>
      <c r="AK68" s="90"/>
      <c r="AL68" s="90"/>
      <c r="AM68" s="90"/>
      <c r="AN68" s="90"/>
      <c r="AO68" s="90"/>
      <c r="AP68" s="90"/>
      <c r="AQ68" s="90"/>
      <c r="AR68" s="90"/>
      <c r="AS68" s="90"/>
      <c r="AT68" s="90"/>
      <c r="AU68" s="90"/>
      <c r="AV68" s="90"/>
      <c r="AW68" s="90"/>
      <c r="AX68" s="90"/>
      <c r="AY68" s="90"/>
      <c r="AZ68" s="90"/>
      <c r="BA68" s="24"/>
    </row>
    <row r="69" spans="1:53" ht="5.0999999999999996" customHeight="1">
      <c r="A69" s="25"/>
      <c r="B69" s="64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24"/>
    </row>
    <row r="70" spans="1:53" ht="15" customHeight="1">
      <c r="A70" s="25"/>
      <c r="B70" s="90" t="s">
        <v>30</v>
      </c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  <c r="AD70" s="90"/>
      <c r="AE70" s="90"/>
      <c r="AF70" s="90"/>
      <c r="AG70" s="90"/>
      <c r="AH70" s="90"/>
      <c r="AI70" s="90"/>
      <c r="AJ70" s="90"/>
      <c r="AK70" s="90"/>
      <c r="AL70" s="90"/>
      <c r="AM70" s="90"/>
      <c r="AN70" s="90"/>
      <c r="AO70" s="90"/>
      <c r="AP70" s="90"/>
      <c r="AQ70" s="90"/>
      <c r="AR70" s="90"/>
      <c r="AS70" s="90"/>
      <c r="AT70" s="90"/>
      <c r="AU70" s="90"/>
      <c r="AV70" s="90"/>
      <c r="AW70" s="90"/>
      <c r="AX70" s="90"/>
      <c r="AY70" s="90"/>
      <c r="AZ70" s="90"/>
      <c r="BA70" s="24"/>
    </row>
    <row r="71" spans="1:53" ht="15" customHeight="1">
      <c r="A71" s="25"/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  <c r="AD71" s="90"/>
      <c r="AE71" s="90"/>
      <c r="AF71" s="90"/>
      <c r="AG71" s="90"/>
      <c r="AH71" s="90"/>
      <c r="AI71" s="90"/>
      <c r="AJ71" s="90"/>
      <c r="AK71" s="90"/>
      <c r="AL71" s="90"/>
      <c r="AM71" s="90"/>
      <c r="AN71" s="90"/>
      <c r="AO71" s="90"/>
      <c r="AP71" s="90"/>
      <c r="AQ71" s="90"/>
      <c r="AR71" s="90"/>
      <c r="AS71" s="90"/>
      <c r="AT71" s="90"/>
      <c r="AU71" s="90"/>
      <c r="AV71" s="90"/>
      <c r="AW71" s="90"/>
      <c r="AX71" s="90"/>
      <c r="AY71" s="90"/>
      <c r="AZ71" s="90"/>
      <c r="BA71" s="24"/>
    </row>
    <row r="72" spans="1:53" ht="15" customHeight="1">
      <c r="A72" s="25"/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  <c r="AD72" s="90"/>
      <c r="AE72" s="90"/>
      <c r="AF72" s="90"/>
      <c r="AG72" s="90"/>
      <c r="AH72" s="90"/>
      <c r="AI72" s="90"/>
      <c r="AJ72" s="90"/>
      <c r="AK72" s="90"/>
      <c r="AL72" s="90"/>
      <c r="AM72" s="90"/>
      <c r="AN72" s="90"/>
      <c r="AO72" s="90"/>
      <c r="AP72" s="90"/>
      <c r="AQ72" s="90"/>
      <c r="AR72" s="90"/>
      <c r="AS72" s="90"/>
      <c r="AT72" s="90"/>
      <c r="AU72" s="90"/>
      <c r="AV72" s="90"/>
      <c r="AW72" s="90"/>
      <c r="AX72" s="90"/>
      <c r="AY72" s="90"/>
      <c r="AZ72" s="90"/>
      <c r="BA72" s="24"/>
    </row>
    <row r="73" spans="1:53" ht="15" customHeight="1">
      <c r="A73" s="25"/>
      <c r="B73" s="90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  <c r="AB73" s="90"/>
      <c r="AC73" s="90"/>
      <c r="AD73" s="90"/>
      <c r="AE73" s="90"/>
      <c r="AF73" s="90"/>
      <c r="AG73" s="90"/>
      <c r="AH73" s="90"/>
      <c r="AI73" s="90"/>
      <c r="AJ73" s="90"/>
      <c r="AK73" s="90"/>
      <c r="AL73" s="90"/>
      <c r="AM73" s="90"/>
      <c r="AN73" s="90"/>
      <c r="AO73" s="90"/>
      <c r="AP73" s="90"/>
      <c r="AQ73" s="90"/>
      <c r="AR73" s="90"/>
      <c r="AS73" s="90"/>
      <c r="AT73" s="90"/>
      <c r="AU73" s="90"/>
      <c r="AV73" s="90"/>
      <c r="AW73" s="90"/>
      <c r="AX73" s="90"/>
      <c r="AY73" s="90"/>
      <c r="AZ73" s="90"/>
      <c r="BA73" s="24"/>
    </row>
    <row r="74" spans="1:53" ht="15" customHeight="1">
      <c r="A74" s="25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24"/>
    </row>
    <row r="75" spans="1:53" ht="15" customHeight="1">
      <c r="A75" s="25"/>
      <c r="B75" s="93" t="s">
        <v>31</v>
      </c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3"/>
      <c r="AM75" s="93"/>
      <c r="AN75" s="93"/>
      <c r="AO75" s="93"/>
      <c r="AP75" s="93"/>
      <c r="AQ75" s="93"/>
      <c r="AR75" s="93"/>
      <c r="AS75" s="93"/>
      <c r="AT75" s="93"/>
      <c r="AU75" s="93"/>
      <c r="AV75" s="93"/>
      <c r="AW75" s="93"/>
      <c r="AX75" s="93"/>
      <c r="AY75" s="93"/>
      <c r="AZ75" s="93"/>
      <c r="BA75" s="24"/>
    </row>
    <row r="76" spans="1:53" ht="5.0999999999999996" customHeight="1">
      <c r="A76" s="25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24"/>
    </row>
    <row r="77" spans="1:53" ht="15" customHeight="1">
      <c r="A77" s="25"/>
      <c r="B77" s="90" t="s">
        <v>32</v>
      </c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90"/>
      <c r="AG77" s="90"/>
      <c r="AH77" s="90"/>
      <c r="AI77" s="90"/>
      <c r="AJ77" s="90"/>
      <c r="AK77" s="90"/>
      <c r="AL77" s="90"/>
      <c r="AM77" s="90"/>
      <c r="AN77" s="90"/>
      <c r="AO77" s="90"/>
      <c r="AP77" s="90"/>
      <c r="AQ77" s="90"/>
      <c r="AR77" s="90"/>
      <c r="AS77" s="90"/>
      <c r="AT77" s="90"/>
      <c r="AU77" s="90"/>
      <c r="AV77" s="90"/>
      <c r="AW77" s="90"/>
      <c r="AX77" s="90"/>
      <c r="AY77" s="90"/>
      <c r="AZ77" s="90"/>
      <c r="BA77" s="24"/>
    </row>
    <row r="78" spans="1:53" ht="15" customHeight="1">
      <c r="A78" s="25"/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  <c r="AM78" s="90"/>
      <c r="AN78" s="90"/>
      <c r="AO78" s="90"/>
      <c r="AP78" s="90"/>
      <c r="AQ78" s="90"/>
      <c r="AR78" s="90"/>
      <c r="AS78" s="90"/>
      <c r="AT78" s="90"/>
      <c r="AU78" s="90"/>
      <c r="AV78" s="90"/>
      <c r="AW78" s="90"/>
      <c r="AX78" s="90"/>
      <c r="AY78" s="90"/>
      <c r="AZ78" s="90"/>
      <c r="BA78" s="24"/>
    </row>
    <row r="79" spans="1:53" ht="15" customHeight="1">
      <c r="A79" s="25"/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0"/>
      <c r="AO79" s="90"/>
      <c r="AP79" s="90"/>
      <c r="AQ79" s="90"/>
      <c r="AR79" s="90"/>
      <c r="AS79" s="90"/>
      <c r="AT79" s="90"/>
      <c r="AU79" s="90"/>
      <c r="AV79" s="90"/>
      <c r="AW79" s="90"/>
      <c r="AX79" s="90"/>
      <c r="AY79" s="90"/>
      <c r="AZ79" s="90"/>
      <c r="BA79" s="24"/>
    </row>
    <row r="80" spans="1:53" ht="15" customHeight="1">
      <c r="A80" s="25"/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90"/>
      <c r="AB80" s="90"/>
      <c r="AC80" s="90"/>
      <c r="AD80" s="90"/>
      <c r="AE80" s="90"/>
      <c r="AF80" s="90"/>
      <c r="AG80" s="90"/>
      <c r="AH80" s="90"/>
      <c r="AI80" s="90"/>
      <c r="AJ80" s="90"/>
      <c r="AK80" s="90"/>
      <c r="AL80" s="90"/>
      <c r="AM80" s="90"/>
      <c r="AN80" s="90"/>
      <c r="AO80" s="90"/>
      <c r="AP80" s="90"/>
      <c r="AQ80" s="90"/>
      <c r="AR80" s="90"/>
      <c r="AS80" s="90"/>
      <c r="AT80" s="90"/>
      <c r="AU80" s="90"/>
      <c r="AV80" s="90"/>
      <c r="AW80" s="90"/>
      <c r="AX80" s="90"/>
      <c r="AY80" s="90"/>
      <c r="AZ80" s="90"/>
      <c r="BA80" s="24"/>
    </row>
    <row r="81" spans="1:53" ht="5.0999999999999996" customHeight="1">
      <c r="A81" s="25"/>
      <c r="B81" s="64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24"/>
    </row>
    <row r="82" spans="1:53" ht="15" customHeight="1">
      <c r="A82" s="25"/>
      <c r="B82" s="90" t="s">
        <v>33</v>
      </c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  <c r="AU82" s="90"/>
      <c r="AV82" s="90"/>
      <c r="AW82" s="90"/>
      <c r="AX82" s="90"/>
      <c r="AY82" s="90"/>
      <c r="AZ82" s="90"/>
      <c r="BA82" s="24"/>
    </row>
    <row r="83" spans="1:53" ht="15" customHeight="1">
      <c r="A83" s="25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  <c r="AQ83" s="90"/>
      <c r="AR83" s="90"/>
      <c r="AS83" s="90"/>
      <c r="AT83" s="90"/>
      <c r="AU83" s="90"/>
      <c r="AV83" s="90"/>
      <c r="AW83" s="90"/>
      <c r="AX83" s="90"/>
      <c r="AY83" s="90"/>
      <c r="AZ83" s="90"/>
      <c r="BA83" s="24"/>
    </row>
    <row r="84" spans="1:53" ht="15" customHeight="1">
      <c r="A84" s="25"/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  <c r="AE84" s="90"/>
      <c r="AF84" s="90"/>
      <c r="AG84" s="90"/>
      <c r="AH84" s="90"/>
      <c r="AI84" s="90"/>
      <c r="AJ84" s="90"/>
      <c r="AK84" s="90"/>
      <c r="AL84" s="90"/>
      <c r="AM84" s="90"/>
      <c r="AN84" s="90"/>
      <c r="AO84" s="90"/>
      <c r="AP84" s="90"/>
      <c r="AQ84" s="90"/>
      <c r="AR84" s="90"/>
      <c r="AS84" s="90"/>
      <c r="AT84" s="90"/>
      <c r="AU84" s="90"/>
      <c r="AV84" s="90"/>
      <c r="AW84" s="90"/>
      <c r="AX84" s="90"/>
      <c r="AY84" s="90"/>
      <c r="AZ84" s="90"/>
      <c r="BA84" s="24"/>
    </row>
    <row r="85" spans="1:53" ht="15" customHeight="1">
      <c r="A85" s="25"/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  <c r="AA85" s="90"/>
      <c r="AB85" s="90"/>
      <c r="AC85" s="90"/>
      <c r="AD85" s="90"/>
      <c r="AE85" s="90"/>
      <c r="AF85" s="90"/>
      <c r="AG85" s="90"/>
      <c r="AH85" s="90"/>
      <c r="AI85" s="90"/>
      <c r="AJ85" s="90"/>
      <c r="AK85" s="90"/>
      <c r="AL85" s="90"/>
      <c r="AM85" s="90"/>
      <c r="AN85" s="90"/>
      <c r="AO85" s="90"/>
      <c r="AP85" s="90"/>
      <c r="AQ85" s="90"/>
      <c r="AR85" s="90"/>
      <c r="AS85" s="90"/>
      <c r="AT85" s="90"/>
      <c r="AU85" s="90"/>
      <c r="AV85" s="90"/>
      <c r="AW85" s="90"/>
      <c r="AX85" s="90"/>
      <c r="AY85" s="90"/>
      <c r="AZ85" s="90"/>
      <c r="BA85" s="24"/>
    </row>
    <row r="86" spans="1:53" ht="15" customHeight="1">
      <c r="A86" s="25"/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90"/>
      <c r="AH86" s="90"/>
      <c r="AI86" s="90"/>
      <c r="AJ86" s="90"/>
      <c r="AK86" s="90"/>
      <c r="AL86" s="90"/>
      <c r="AM86" s="90"/>
      <c r="AN86" s="90"/>
      <c r="AO86" s="90"/>
      <c r="AP86" s="90"/>
      <c r="AQ86" s="90"/>
      <c r="AR86" s="90"/>
      <c r="AS86" s="90"/>
      <c r="AT86" s="90"/>
      <c r="AU86" s="90"/>
      <c r="AV86" s="90"/>
      <c r="AW86" s="90"/>
      <c r="AX86" s="90"/>
      <c r="AY86" s="90"/>
      <c r="AZ86" s="90"/>
      <c r="BA86" s="24"/>
    </row>
    <row r="87" spans="1:53" ht="5.0999999999999996" customHeight="1">
      <c r="A87" s="25"/>
      <c r="B87" s="64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24"/>
    </row>
    <row r="88" spans="1:53" ht="15" customHeight="1">
      <c r="A88" s="25"/>
      <c r="B88" s="90" t="s">
        <v>34</v>
      </c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90"/>
      <c r="AH88" s="90"/>
      <c r="AI88" s="90"/>
      <c r="AJ88" s="90"/>
      <c r="AK88" s="90"/>
      <c r="AL88" s="90"/>
      <c r="AM88" s="90"/>
      <c r="AN88" s="90"/>
      <c r="AO88" s="90"/>
      <c r="AP88" s="90"/>
      <c r="AQ88" s="90"/>
      <c r="AR88" s="90"/>
      <c r="AS88" s="90"/>
      <c r="AT88" s="90"/>
      <c r="AU88" s="90"/>
      <c r="AV88" s="90"/>
      <c r="AW88" s="90"/>
      <c r="AX88" s="90"/>
      <c r="AY88" s="90"/>
      <c r="AZ88" s="90"/>
      <c r="BA88" s="24"/>
    </row>
    <row r="89" spans="1:53" ht="15" customHeight="1">
      <c r="A89" s="25"/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90"/>
      <c r="AH89" s="90"/>
      <c r="AI89" s="90"/>
      <c r="AJ89" s="90"/>
      <c r="AK89" s="90"/>
      <c r="AL89" s="90"/>
      <c r="AM89" s="90"/>
      <c r="AN89" s="90"/>
      <c r="AO89" s="90"/>
      <c r="AP89" s="90"/>
      <c r="AQ89" s="90"/>
      <c r="AR89" s="90"/>
      <c r="AS89" s="90"/>
      <c r="AT89" s="90"/>
      <c r="AU89" s="90"/>
      <c r="AV89" s="90"/>
      <c r="AW89" s="90"/>
      <c r="AX89" s="90"/>
      <c r="AY89" s="90"/>
      <c r="AZ89" s="90"/>
      <c r="BA89" s="24"/>
    </row>
    <row r="90" spans="1:53" ht="15" customHeight="1">
      <c r="A90" s="25"/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0"/>
      <c r="AH90" s="90"/>
      <c r="AI90" s="90"/>
      <c r="AJ90" s="90"/>
      <c r="AK90" s="90"/>
      <c r="AL90" s="90"/>
      <c r="AM90" s="90"/>
      <c r="AN90" s="90"/>
      <c r="AO90" s="90"/>
      <c r="AP90" s="90"/>
      <c r="AQ90" s="90"/>
      <c r="AR90" s="90"/>
      <c r="AS90" s="90"/>
      <c r="AT90" s="90"/>
      <c r="AU90" s="90"/>
      <c r="AV90" s="90"/>
      <c r="AW90" s="90"/>
      <c r="AX90" s="90"/>
      <c r="AY90" s="90"/>
      <c r="AZ90" s="90"/>
      <c r="BA90" s="24"/>
    </row>
    <row r="91" spans="1:53" ht="5.0999999999999996" customHeight="1">
      <c r="A91" s="25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24"/>
    </row>
    <row r="92" spans="1:53" ht="15" customHeight="1">
      <c r="A92" s="25"/>
      <c r="B92" s="94" t="s">
        <v>35</v>
      </c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94"/>
      <c r="AH92" s="94"/>
      <c r="AI92" s="94"/>
      <c r="AJ92" s="94"/>
      <c r="AK92" s="94"/>
      <c r="AL92" s="94"/>
      <c r="AM92" s="94"/>
      <c r="AN92" s="94"/>
      <c r="AO92" s="94"/>
      <c r="AP92" s="94"/>
      <c r="AQ92" s="94"/>
      <c r="AR92" s="94"/>
      <c r="AS92" s="94"/>
      <c r="AT92" s="94"/>
      <c r="AU92" s="94"/>
      <c r="AV92" s="94"/>
      <c r="AW92" s="94"/>
      <c r="AX92" s="94"/>
      <c r="AY92" s="94"/>
      <c r="AZ92" s="94"/>
      <c r="BA92" s="24"/>
    </row>
    <row r="93" spans="1:53" ht="15" customHeight="1">
      <c r="A93" s="25"/>
      <c r="B93" s="64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24"/>
    </row>
    <row r="94" spans="1:53" ht="15" customHeight="1">
      <c r="A94" s="25"/>
      <c r="B94" s="93" t="s">
        <v>36</v>
      </c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  <c r="AM94" s="93"/>
      <c r="AN94" s="93"/>
      <c r="AO94" s="93"/>
      <c r="AP94" s="93"/>
      <c r="AQ94" s="93"/>
      <c r="AR94" s="93"/>
      <c r="AS94" s="93"/>
      <c r="AT94" s="93"/>
      <c r="AU94" s="93"/>
      <c r="AV94" s="93"/>
      <c r="AW94" s="93"/>
      <c r="AX94" s="93"/>
      <c r="AY94" s="93"/>
      <c r="AZ94" s="93"/>
      <c r="BA94" s="24"/>
    </row>
    <row r="95" spans="1:53" ht="5.0999999999999996" customHeight="1">
      <c r="A95" s="25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24"/>
    </row>
    <row r="96" spans="1:53" ht="15" customHeight="1">
      <c r="A96" s="25"/>
      <c r="B96" s="90" t="s">
        <v>37</v>
      </c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  <c r="AA96" s="90"/>
      <c r="AB96" s="90"/>
      <c r="AC96" s="90"/>
      <c r="AD96" s="90"/>
      <c r="AE96" s="90"/>
      <c r="AF96" s="90"/>
      <c r="AG96" s="90"/>
      <c r="AH96" s="90"/>
      <c r="AI96" s="90"/>
      <c r="AJ96" s="90"/>
      <c r="AK96" s="90"/>
      <c r="AL96" s="90"/>
      <c r="AM96" s="90"/>
      <c r="AN96" s="90"/>
      <c r="AO96" s="90"/>
      <c r="AP96" s="90"/>
      <c r="AQ96" s="90"/>
      <c r="AR96" s="90"/>
      <c r="AS96" s="90"/>
      <c r="AT96" s="90"/>
      <c r="AU96" s="90"/>
      <c r="AV96" s="90"/>
      <c r="AW96" s="90"/>
      <c r="AX96" s="90"/>
      <c r="AY96" s="90"/>
      <c r="AZ96" s="90"/>
      <c r="BA96" s="24"/>
    </row>
    <row r="97" spans="1:53" ht="15" customHeight="1">
      <c r="A97" s="25"/>
      <c r="B97" s="90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  <c r="AA97" s="90"/>
      <c r="AB97" s="90"/>
      <c r="AC97" s="90"/>
      <c r="AD97" s="90"/>
      <c r="AE97" s="90"/>
      <c r="AF97" s="90"/>
      <c r="AG97" s="90"/>
      <c r="AH97" s="90"/>
      <c r="AI97" s="90"/>
      <c r="AJ97" s="90"/>
      <c r="AK97" s="90"/>
      <c r="AL97" s="90"/>
      <c r="AM97" s="90"/>
      <c r="AN97" s="90"/>
      <c r="AO97" s="90"/>
      <c r="AP97" s="90"/>
      <c r="AQ97" s="90"/>
      <c r="AR97" s="90"/>
      <c r="AS97" s="90"/>
      <c r="AT97" s="90"/>
      <c r="AU97" s="90"/>
      <c r="AV97" s="90"/>
      <c r="AW97" s="90"/>
      <c r="AX97" s="90"/>
      <c r="AY97" s="90"/>
      <c r="AZ97" s="90"/>
      <c r="BA97" s="24"/>
    </row>
    <row r="98" spans="1:53" ht="15" customHeight="1">
      <c r="A98" s="25"/>
      <c r="B98" s="90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  <c r="AM98" s="90"/>
      <c r="AN98" s="90"/>
      <c r="AO98" s="90"/>
      <c r="AP98" s="90"/>
      <c r="AQ98" s="90"/>
      <c r="AR98" s="90"/>
      <c r="AS98" s="90"/>
      <c r="AT98" s="90"/>
      <c r="AU98" s="90"/>
      <c r="AV98" s="90"/>
      <c r="AW98" s="90"/>
      <c r="AX98" s="90"/>
      <c r="AY98" s="90"/>
      <c r="AZ98" s="90"/>
      <c r="BA98" s="24"/>
    </row>
    <row r="99" spans="1:53" ht="15" customHeight="1">
      <c r="A99" s="25"/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  <c r="AM99" s="90"/>
      <c r="AN99" s="90"/>
      <c r="AO99" s="90"/>
      <c r="AP99" s="90"/>
      <c r="AQ99" s="90"/>
      <c r="AR99" s="90"/>
      <c r="AS99" s="90"/>
      <c r="AT99" s="90"/>
      <c r="AU99" s="90"/>
      <c r="AV99" s="90"/>
      <c r="AW99" s="90"/>
      <c r="AX99" s="90"/>
      <c r="AY99" s="90"/>
      <c r="AZ99" s="90"/>
      <c r="BA99" s="24"/>
    </row>
    <row r="100" spans="1:53" ht="5.0999999999999996" customHeight="1">
      <c r="A100" s="25"/>
      <c r="B100" s="64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24"/>
    </row>
    <row r="101" spans="1:53" ht="15" customHeight="1">
      <c r="A101" s="25"/>
      <c r="B101" s="90" t="s">
        <v>38</v>
      </c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  <c r="AM101" s="90"/>
      <c r="AN101" s="90"/>
      <c r="AO101" s="90"/>
      <c r="AP101" s="90"/>
      <c r="AQ101" s="90"/>
      <c r="AR101" s="90"/>
      <c r="AS101" s="90"/>
      <c r="AT101" s="90"/>
      <c r="AU101" s="90"/>
      <c r="AV101" s="90"/>
      <c r="AW101" s="90"/>
      <c r="AX101" s="90"/>
      <c r="AY101" s="90"/>
      <c r="AZ101" s="90"/>
      <c r="BA101" s="24"/>
    </row>
    <row r="102" spans="1:53" ht="15" customHeight="1">
      <c r="A102" s="25"/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90"/>
      <c r="AN102" s="90"/>
      <c r="AO102" s="90"/>
      <c r="AP102" s="90"/>
      <c r="AQ102" s="90"/>
      <c r="AR102" s="90"/>
      <c r="AS102" s="90"/>
      <c r="AT102" s="90"/>
      <c r="AU102" s="90"/>
      <c r="AV102" s="90"/>
      <c r="AW102" s="90"/>
      <c r="AX102" s="90"/>
      <c r="AY102" s="90"/>
      <c r="AZ102" s="90"/>
      <c r="BA102" s="24"/>
    </row>
    <row r="103" spans="1:53" ht="15" customHeight="1">
      <c r="A103" s="25"/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  <c r="AM103" s="90"/>
      <c r="AN103" s="90"/>
      <c r="AO103" s="90"/>
      <c r="AP103" s="90"/>
      <c r="AQ103" s="90"/>
      <c r="AR103" s="90"/>
      <c r="AS103" s="90"/>
      <c r="AT103" s="90"/>
      <c r="AU103" s="90"/>
      <c r="AV103" s="90"/>
      <c r="AW103" s="90"/>
      <c r="AX103" s="90"/>
      <c r="AY103" s="90"/>
      <c r="AZ103" s="90"/>
      <c r="BA103" s="24"/>
    </row>
    <row r="104" spans="1:53" ht="5.0999999999999996" customHeight="1">
      <c r="A104" s="25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24"/>
    </row>
    <row r="105" spans="1:53" ht="15" customHeight="1">
      <c r="A105" s="25"/>
      <c r="B105" s="90" t="s">
        <v>39</v>
      </c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  <c r="AA105" s="90"/>
      <c r="AB105" s="90"/>
      <c r="AC105" s="90"/>
      <c r="AD105" s="90"/>
      <c r="AE105" s="90"/>
      <c r="AF105" s="90"/>
      <c r="AG105" s="90"/>
      <c r="AH105" s="90"/>
      <c r="AI105" s="90"/>
      <c r="AJ105" s="90"/>
      <c r="AK105" s="90"/>
      <c r="AL105" s="90"/>
      <c r="AM105" s="90"/>
      <c r="AN105" s="90"/>
      <c r="AO105" s="90"/>
      <c r="AP105" s="90"/>
      <c r="AQ105" s="90"/>
      <c r="AR105" s="90"/>
      <c r="AS105" s="90"/>
      <c r="AT105" s="90"/>
      <c r="AU105" s="90"/>
      <c r="AV105" s="90"/>
      <c r="AW105" s="90"/>
      <c r="AX105" s="90"/>
      <c r="AY105" s="90"/>
      <c r="AZ105" s="90"/>
      <c r="BA105" s="24"/>
    </row>
    <row r="106" spans="1:53" ht="15" customHeight="1">
      <c r="A106" s="25"/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90"/>
      <c r="AB106" s="90"/>
      <c r="AC106" s="90"/>
      <c r="AD106" s="90"/>
      <c r="AE106" s="90"/>
      <c r="AF106" s="90"/>
      <c r="AG106" s="90"/>
      <c r="AH106" s="90"/>
      <c r="AI106" s="90"/>
      <c r="AJ106" s="90"/>
      <c r="AK106" s="90"/>
      <c r="AL106" s="90"/>
      <c r="AM106" s="90"/>
      <c r="AN106" s="90"/>
      <c r="AO106" s="90"/>
      <c r="AP106" s="90"/>
      <c r="AQ106" s="90"/>
      <c r="AR106" s="90"/>
      <c r="AS106" s="90"/>
      <c r="AT106" s="90"/>
      <c r="AU106" s="90"/>
      <c r="AV106" s="90"/>
      <c r="AW106" s="90"/>
      <c r="AX106" s="90"/>
      <c r="AY106" s="90"/>
      <c r="AZ106" s="90"/>
      <c r="BA106" s="24"/>
    </row>
    <row r="107" spans="1:53" ht="5.0999999999999996" customHeight="1">
      <c r="A107" s="25"/>
      <c r="B107" s="64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  <c r="AY107" s="36"/>
      <c r="AZ107" s="36"/>
      <c r="BA107" s="24"/>
    </row>
    <row r="108" spans="1:53" ht="15" customHeight="1">
      <c r="A108" s="25"/>
      <c r="B108" s="90" t="s">
        <v>40</v>
      </c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  <c r="AE108" s="90"/>
      <c r="AF108" s="90"/>
      <c r="AG108" s="90"/>
      <c r="AH108" s="90"/>
      <c r="AI108" s="90"/>
      <c r="AJ108" s="90"/>
      <c r="AK108" s="90"/>
      <c r="AL108" s="90"/>
      <c r="AM108" s="90"/>
      <c r="AN108" s="90"/>
      <c r="AO108" s="90"/>
      <c r="AP108" s="90"/>
      <c r="AQ108" s="90"/>
      <c r="AR108" s="90"/>
      <c r="AS108" s="90"/>
      <c r="AT108" s="90"/>
      <c r="AU108" s="90"/>
      <c r="AV108" s="90"/>
      <c r="AW108" s="90"/>
      <c r="AX108" s="90"/>
      <c r="AY108" s="90"/>
      <c r="AZ108" s="90"/>
      <c r="BA108" s="24"/>
    </row>
    <row r="109" spans="1:53" ht="15" customHeight="1">
      <c r="A109" s="25"/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  <c r="AA109" s="90"/>
      <c r="AB109" s="90"/>
      <c r="AC109" s="90"/>
      <c r="AD109" s="90"/>
      <c r="AE109" s="90"/>
      <c r="AF109" s="90"/>
      <c r="AG109" s="90"/>
      <c r="AH109" s="90"/>
      <c r="AI109" s="90"/>
      <c r="AJ109" s="90"/>
      <c r="AK109" s="90"/>
      <c r="AL109" s="90"/>
      <c r="AM109" s="90"/>
      <c r="AN109" s="90"/>
      <c r="AO109" s="90"/>
      <c r="AP109" s="90"/>
      <c r="AQ109" s="90"/>
      <c r="AR109" s="90"/>
      <c r="AS109" s="90"/>
      <c r="AT109" s="90"/>
      <c r="AU109" s="90"/>
      <c r="AV109" s="90"/>
      <c r="AW109" s="90"/>
      <c r="AX109" s="90"/>
      <c r="AY109" s="90"/>
      <c r="AZ109" s="90"/>
      <c r="BA109" s="24"/>
    </row>
    <row r="110" spans="1:53" ht="15" customHeight="1">
      <c r="A110" s="25"/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  <c r="AA110" s="90"/>
      <c r="AB110" s="90"/>
      <c r="AC110" s="90"/>
      <c r="AD110" s="90"/>
      <c r="AE110" s="90"/>
      <c r="AF110" s="90"/>
      <c r="AG110" s="90"/>
      <c r="AH110" s="90"/>
      <c r="AI110" s="90"/>
      <c r="AJ110" s="90"/>
      <c r="AK110" s="90"/>
      <c r="AL110" s="90"/>
      <c r="AM110" s="90"/>
      <c r="AN110" s="90"/>
      <c r="AO110" s="90"/>
      <c r="AP110" s="90"/>
      <c r="AQ110" s="90"/>
      <c r="AR110" s="90"/>
      <c r="AS110" s="90"/>
      <c r="AT110" s="90"/>
      <c r="AU110" s="90"/>
      <c r="AV110" s="90"/>
      <c r="AW110" s="90"/>
      <c r="AX110" s="90"/>
      <c r="AY110" s="90"/>
      <c r="AZ110" s="90"/>
      <c r="BA110" s="24"/>
    </row>
    <row r="111" spans="1:53" ht="5.0999999999999996" customHeight="1">
      <c r="A111" s="25"/>
      <c r="B111" s="64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6"/>
      <c r="AZ111" s="36"/>
      <c r="BA111" s="24"/>
    </row>
    <row r="112" spans="1:53" ht="5.0999999999999996" customHeight="1">
      <c r="A112" s="25"/>
      <c r="B112" s="64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24"/>
    </row>
    <row r="113" spans="1:53" ht="5.0999999999999996" customHeight="1">
      <c r="A113" s="25"/>
      <c r="B113" s="64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  <c r="AY113" s="36"/>
      <c r="AZ113" s="36"/>
      <c r="BA113" s="24"/>
    </row>
    <row r="114" spans="1:53" ht="15" customHeight="1">
      <c r="A114" s="25"/>
      <c r="B114" s="90" t="s">
        <v>41</v>
      </c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  <c r="AA114" s="90"/>
      <c r="AB114" s="90"/>
      <c r="AC114" s="90"/>
      <c r="AD114" s="90"/>
      <c r="AE114" s="90"/>
      <c r="AF114" s="90"/>
      <c r="AG114" s="90"/>
      <c r="AH114" s="90"/>
      <c r="AI114" s="90"/>
      <c r="AJ114" s="90"/>
      <c r="AK114" s="90"/>
      <c r="AL114" s="90"/>
      <c r="AM114" s="90"/>
      <c r="AN114" s="90"/>
      <c r="AO114" s="90"/>
      <c r="AP114" s="90"/>
      <c r="AQ114" s="90"/>
      <c r="AR114" s="90"/>
      <c r="AS114" s="90"/>
      <c r="AT114" s="90"/>
      <c r="AU114" s="90"/>
      <c r="AV114" s="90"/>
      <c r="AW114" s="90"/>
      <c r="AX114" s="90"/>
      <c r="AY114" s="90"/>
      <c r="AZ114" s="90"/>
      <c r="BA114" s="24"/>
    </row>
    <row r="115" spans="1:53" ht="15" customHeight="1">
      <c r="A115" s="25"/>
      <c r="B115" s="90"/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  <c r="AA115" s="90"/>
      <c r="AB115" s="90"/>
      <c r="AC115" s="90"/>
      <c r="AD115" s="90"/>
      <c r="AE115" s="90"/>
      <c r="AF115" s="90"/>
      <c r="AG115" s="90"/>
      <c r="AH115" s="90"/>
      <c r="AI115" s="90"/>
      <c r="AJ115" s="90"/>
      <c r="AK115" s="90"/>
      <c r="AL115" s="90"/>
      <c r="AM115" s="90"/>
      <c r="AN115" s="90"/>
      <c r="AO115" s="90"/>
      <c r="AP115" s="90"/>
      <c r="AQ115" s="90"/>
      <c r="AR115" s="90"/>
      <c r="AS115" s="90"/>
      <c r="AT115" s="90"/>
      <c r="AU115" s="90"/>
      <c r="AV115" s="90"/>
      <c r="AW115" s="90"/>
      <c r="AX115" s="90"/>
      <c r="AY115" s="90"/>
      <c r="AZ115" s="90"/>
      <c r="BA115" s="24"/>
    </row>
    <row r="116" spans="1:53" ht="15" customHeight="1">
      <c r="A116" s="25"/>
      <c r="B116" s="90"/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  <c r="AA116" s="90"/>
      <c r="AB116" s="90"/>
      <c r="AC116" s="90"/>
      <c r="AD116" s="90"/>
      <c r="AE116" s="90"/>
      <c r="AF116" s="90"/>
      <c r="AG116" s="90"/>
      <c r="AH116" s="90"/>
      <c r="AI116" s="90"/>
      <c r="AJ116" s="90"/>
      <c r="AK116" s="90"/>
      <c r="AL116" s="90"/>
      <c r="AM116" s="90"/>
      <c r="AN116" s="90"/>
      <c r="AO116" s="90"/>
      <c r="AP116" s="90"/>
      <c r="AQ116" s="90"/>
      <c r="AR116" s="90"/>
      <c r="AS116" s="90"/>
      <c r="AT116" s="90"/>
      <c r="AU116" s="90"/>
      <c r="AV116" s="90"/>
      <c r="AW116" s="90"/>
      <c r="AX116" s="90"/>
      <c r="AY116" s="90"/>
      <c r="AZ116" s="90"/>
      <c r="BA116" s="24"/>
    </row>
    <row r="117" spans="1:53" ht="5.0999999999999996" customHeight="1">
      <c r="A117" s="25"/>
      <c r="B117" s="64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24"/>
    </row>
    <row r="118" spans="1:53" ht="15" customHeight="1">
      <c r="A118" s="25"/>
      <c r="B118" s="90" t="s">
        <v>42</v>
      </c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  <c r="AA118" s="90"/>
      <c r="AB118" s="90"/>
      <c r="AC118" s="90"/>
      <c r="AD118" s="90"/>
      <c r="AE118" s="90"/>
      <c r="AF118" s="90"/>
      <c r="AG118" s="90"/>
      <c r="AH118" s="90"/>
      <c r="AI118" s="90"/>
      <c r="AJ118" s="90"/>
      <c r="AK118" s="90"/>
      <c r="AL118" s="90"/>
      <c r="AM118" s="90"/>
      <c r="AN118" s="90"/>
      <c r="AO118" s="90"/>
      <c r="AP118" s="90"/>
      <c r="AQ118" s="90"/>
      <c r="AR118" s="90"/>
      <c r="AS118" s="90"/>
      <c r="AT118" s="90"/>
      <c r="AU118" s="90"/>
      <c r="AV118" s="90"/>
      <c r="AW118" s="90"/>
      <c r="AX118" s="90"/>
      <c r="AY118" s="90"/>
      <c r="AZ118" s="90"/>
      <c r="BA118" s="24"/>
    </row>
    <row r="119" spans="1:53" ht="15" customHeight="1">
      <c r="A119" s="25"/>
      <c r="B119" s="90" t="s">
        <v>43</v>
      </c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  <c r="AA119" s="90"/>
      <c r="AB119" s="90"/>
      <c r="AC119" s="90"/>
      <c r="AD119" s="90"/>
      <c r="AE119" s="90"/>
      <c r="AF119" s="90"/>
      <c r="AG119" s="90"/>
      <c r="AH119" s="90"/>
      <c r="AI119" s="90"/>
      <c r="AJ119" s="90"/>
      <c r="AK119" s="90"/>
      <c r="AL119" s="90"/>
      <c r="AM119" s="90"/>
      <c r="AN119" s="90"/>
      <c r="AO119" s="90"/>
      <c r="AP119" s="90"/>
      <c r="AQ119" s="90"/>
      <c r="AR119" s="90"/>
      <c r="AS119" s="90"/>
      <c r="AT119" s="90"/>
      <c r="AU119" s="90"/>
      <c r="AV119" s="90"/>
      <c r="AW119" s="90"/>
      <c r="AX119" s="90"/>
      <c r="AY119" s="90"/>
      <c r="AZ119" s="90"/>
      <c r="BA119" s="24"/>
    </row>
    <row r="120" spans="1:53" ht="5.0999999999999996" customHeight="1">
      <c r="A120" s="25"/>
      <c r="B120" s="64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  <c r="BA120" s="24"/>
    </row>
    <row r="121" spans="1:53" ht="15" customHeight="1">
      <c r="A121" s="25"/>
      <c r="B121" s="90" t="s">
        <v>44</v>
      </c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  <c r="AA121" s="90"/>
      <c r="AB121" s="90"/>
      <c r="AC121" s="90"/>
      <c r="AD121" s="90"/>
      <c r="AE121" s="90"/>
      <c r="AF121" s="90"/>
      <c r="AG121" s="90"/>
      <c r="AH121" s="90"/>
      <c r="AI121" s="90"/>
      <c r="AJ121" s="90"/>
      <c r="AK121" s="90"/>
      <c r="AL121" s="90"/>
      <c r="AM121" s="90"/>
      <c r="AN121" s="90"/>
      <c r="AO121" s="90"/>
      <c r="AP121" s="90"/>
      <c r="AQ121" s="90"/>
      <c r="AR121" s="90"/>
      <c r="AS121" s="90"/>
      <c r="AT121" s="90"/>
      <c r="AU121" s="90"/>
      <c r="AV121" s="90"/>
      <c r="AW121" s="90"/>
      <c r="AX121" s="90"/>
      <c r="AY121" s="90"/>
      <c r="AZ121" s="90"/>
      <c r="BA121" s="24"/>
    </row>
    <row r="122" spans="1:53" ht="15" customHeight="1">
      <c r="A122" s="25"/>
      <c r="B122" s="90"/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  <c r="AA122" s="90"/>
      <c r="AB122" s="90"/>
      <c r="AC122" s="90"/>
      <c r="AD122" s="90"/>
      <c r="AE122" s="90"/>
      <c r="AF122" s="90"/>
      <c r="AG122" s="90"/>
      <c r="AH122" s="90"/>
      <c r="AI122" s="90"/>
      <c r="AJ122" s="90"/>
      <c r="AK122" s="90"/>
      <c r="AL122" s="90"/>
      <c r="AM122" s="90"/>
      <c r="AN122" s="90"/>
      <c r="AO122" s="90"/>
      <c r="AP122" s="90"/>
      <c r="AQ122" s="90"/>
      <c r="AR122" s="90"/>
      <c r="AS122" s="90"/>
      <c r="AT122" s="90"/>
      <c r="AU122" s="90"/>
      <c r="AV122" s="90"/>
      <c r="AW122" s="90"/>
      <c r="AX122" s="90"/>
      <c r="AY122" s="90"/>
      <c r="AZ122" s="90"/>
      <c r="BA122" s="24"/>
    </row>
    <row r="123" spans="1:53" ht="15" customHeight="1">
      <c r="A123" s="25"/>
      <c r="B123" s="90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  <c r="AA123" s="90"/>
      <c r="AB123" s="90"/>
      <c r="AC123" s="90"/>
      <c r="AD123" s="90"/>
      <c r="AE123" s="90"/>
      <c r="AF123" s="90"/>
      <c r="AG123" s="90"/>
      <c r="AH123" s="90"/>
      <c r="AI123" s="90"/>
      <c r="AJ123" s="90"/>
      <c r="AK123" s="90"/>
      <c r="AL123" s="90"/>
      <c r="AM123" s="90"/>
      <c r="AN123" s="90"/>
      <c r="AO123" s="90"/>
      <c r="AP123" s="90"/>
      <c r="AQ123" s="90"/>
      <c r="AR123" s="90"/>
      <c r="AS123" s="90"/>
      <c r="AT123" s="90"/>
      <c r="AU123" s="90"/>
      <c r="AV123" s="90"/>
      <c r="AW123" s="90"/>
      <c r="AX123" s="90"/>
      <c r="AY123" s="90"/>
      <c r="AZ123" s="90"/>
      <c r="BA123" s="24"/>
    </row>
    <row r="124" spans="1:53" ht="15" customHeight="1">
      <c r="A124" s="25"/>
      <c r="B124" s="90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  <c r="AA124" s="90"/>
      <c r="AB124" s="90"/>
      <c r="AC124" s="90"/>
      <c r="AD124" s="90"/>
      <c r="AE124" s="90"/>
      <c r="AF124" s="90"/>
      <c r="AG124" s="90"/>
      <c r="AH124" s="90"/>
      <c r="AI124" s="90"/>
      <c r="AJ124" s="90"/>
      <c r="AK124" s="90"/>
      <c r="AL124" s="90"/>
      <c r="AM124" s="90"/>
      <c r="AN124" s="90"/>
      <c r="AO124" s="90"/>
      <c r="AP124" s="90"/>
      <c r="AQ124" s="90"/>
      <c r="AR124" s="90"/>
      <c r="AS124" s="90"/>
      <c r="AT124" s="90"/>
      <c r="AU124" s="90"/>
      <c r="AV124" s="90"/>
      <c r="AW124" s="90"/>
      <c r="AX124" s="90"/>
      <c r="AY124" s="90"/>
      <c r="AZ124" s="90"/>
      <c r="BA124" s="24"/>
    </row>
    <row r="125" spans="1:53" ht="15" customHeight="1">
      <c r="A125" s="25"/>
      <c r="B125" s="64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24"/>
    </row>
    <row r="126" spans="1:53" ht="15" customHeight="1">
      <c r="A126" s="25"/>
      <c r="B126" s="93" t="s">
        <v>45</v>
      </c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  <c r="AM126" s="93"/>
      <c r="AN126" s="93"/>
      <c r="AO126" s="93"/>
      <c r="AP126" s="93"/>
      <c r="AQ126" s="93"/>
      <c r="AR126" s="93"/>
      <c r="AS126" s="93"/>
      <c r="AT126" s="93"/>
      <c r="AU126" s="93"/>
      <c r="AV126" s="93"/>
      <c r="AW126" s="93"/>
      <c r="AX126" s="93"/>
      <c r="AY126" s="93"/>
      <c r="AZ126" s="93"/>
      <c r="BA126" s="24"/>
    </row>
    <row r="127" spans="1:53" ht="5.0999999999999996" customHeight="1">
      <c r="A127" s="25"/>
      <c r="B127" s="64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24"/>
    </row>
    <row r="128" spans="1:53" ht="15" customHeight="1">
      <c r="A128" s="25"/>
      <c r="B128" s="90" t="s">
        <v>46</v>
      </c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  <c r="AA128" s="90"/>
      <c r="AB128" s="90"/>
      <c r="AC128" s="90"/>
      <c r="AD128" s="90"/>
      <c r="AE128" s="90"/>
      <c r="AF128" s="90"/>
      <c r="AG128" s="90"/>
      <c r="AH128" s="90"/>
      <c r="AI128" s="90"/>
      <c r="AJ128" s="90"/>
      <c r="AK128" s="90"/>
      <c r="AL128" s="90"/>
      <c r="AM128" s="90"/>
      <c r="AN128" s="90"/>
      <c r="AO128" s="90"/>
      <c r="AP128" s="90"/>
      <c r="AQ128" s="90"/>
      <c r="AR128" s="90"/>
      <c r="AS128" s="90"/>
      <c r="AT128" s="90"/>
      <c r="AU128" s="90"/>
      <c r="AV128" s="90"/>
      <c r="AW128" s="90"/>
      <c r="AX128" s="90"/>
      <c r="AY128" s="90"/>
      <c r="AZ128" s="90"/>
      <c r="BA128" s="24"/>
    </row>
    <row r="129" spans="1:53" ht="15" customHeight="1">
      <c r="A129" s="25"/>
      <c r="B129" s="90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  <c r="AA129" s="90"/>
      <c r="AB129" s="90"/>
      <c r="AC129" s="90"/>
      <c r="AD129" s="90"/>
      <c r="AE129" s="90"/>
      <c r="AF129" s="90"/>
      <c r="AG129" s="90"/>
      <c r="AH129" s="90"/>
      <c r="AI129" s="90"/>
      <c r="AJ129" s="90"/>
      <c r="AK129" s="90"/>
      <c r="AL129" s="90"/>
      <c r="AM129" s="90"/>
      <c r="AN129" s="90"/>
      <c r="AO129" s="90"/>
      <c r="AP129" s="90"/>
      <c r="AQ129" s="90"/>
      <c r="AR129" s="90"/>
      <c r="AS129" s="90"/>
      <c r="AT129" s="90"/>
      <c r="AU129" s="90"/>
      <c r="AV129" s="90"/>
      <c r="AW129" s="90"/>
      <c r="AX129" s="90"/>
      <c r="AY129" s="90"/>
      <c r="AZ129" s="90"/>
      <c r="BA129" s="24"/>
    </row>
    <row r="130" spans="1:53" ht="15" customHeight="1">
      <c r="A130" s="25"/>
      <c r="B130" s="90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  <c r="AA130" s="90"/>
      <c r="AB130" s="90"/>
      <c r="AC130" s="90"/>
      <c r="AD130" s="90"/>
      <c r="AE130" s="90"/>
      <c r="AF130" s="90"/>
      <c r="AG130" s="90"/>
      <c r="AH130" s="90"/>
      <c r="AI130" s="90"/>
      <c r="AJ130" s="90"/>
      <c r="AK130" s="90"/>
      <c r="AL130" s="90"/>
      <c r="AM130" s="90"/>
      <c r="AN130" s="90"/>
      <c r="AO130" s="90"/>
      <c r="AP130" s="90"/>
      <c r="AQ130" s="90"/>
      <c r="AR130" s="90"/>
      <c r="AS130" s="90"/>
      <c r="AT130" s="90"/>
      <c r="AU130" s="90"/>
      <c r="AV130" s="90"/>
      <c r="AW130" s="90"/>
      <c r="AX130" s="90"/>
      <c r="AY130" s="90"/>
      <c r="AZ130" s="90"/>
      <c r="BA130" s="24"/>
    </row>
    <row r="131" spans="1:53" ht="5.0999999999999996" customHeight="1">
      <c r="A131" s="25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24"/>
    </row>
    <row r="132" spans="1:53" ht="15" customHeight="1">
      <c r="A132" s="25"/>
      <c r="B132" s="90" t="s">
        <v>47</v>
      </c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  <c r="AA132" s="90"/>
      <c r="AB132" s="90"/>
      <c r="AC132" s="90"/>
      <c r="AD132" s="90"/>
      <c r="AE132" s="90"/>
      <c r="AF132" s="90"/>
      <c r="AG132" s="90"/>
      <c r="AH132" s="90"/>
      <c r="AI132" s="90"/>
      <c r="AJ132" s="90"/>
      <c r="AK132" s="90"/>
      <c r="AL132" s="90"/>
      <c r="AM132" s="90"/>
      <c r="AN132" s="90"/>
      <c r="AO132" s="90"/>
      <c r="AP132" s="90"/>
      <c r="AQ132" s="90"/>
      <c r="AR132" s="90"/>
      <c r="AS132" s="90"/>
      <c r="AT132" s="90"/>
      <c r="AU132" s="90"/>
      <c r="AV132" s="90"/>
      <c r="AW132" s="90"/>
      <c r="AX132" s="90"/>
      <c r="AY132" s="90"/>
      <c r="AZ132" s="90"/>
      <c r="BA132" s="24"/>
    </row>
    <row r="133" spans="1:53" ht="15" customHeight="1">
      <c r="A133" s="25"/>
      <c r="B133" s="90"/>
      <c r="C133" s="90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  <c r="AA133" s="90"/>
      <c r="AB133" s="90"/>
      <c r="AC133" s="90"/>
      <c r="AD133" s="90"/>
      <c r="AE133" s="90"/>
      <c r="AF133" s="90"/>
      <c r="AG133" s="90"/>
      <c r="AH133" s="90"/>
      <c r="AI133" s="90"/>
      <c r="AJ133" s="90"/>
      <c r="AK133" s="90"/>
      <c r="AL133" s="90"/>
      <c r="AM133" s="90"/>
      <c r="AN133" s="90"/>
      <c r="AO133" s="90"/>
      <c r="AP133" s="90"/>
      <c r="AQ133" s="90"/>
      <c r="AR133" s="90"/>
      <c r="AS133" s="90"/>
      <c r="AT133" s="90"/>
      <c r="AU133" s="90"/>
      <c r="AV133" s="90"/>
      <c r="AW133" s="90"/>
      <c r="AX133" s="90"/>
      <c r="AY133" s="90"/>
      <c r="AZ133" s="90"/>
      <c r="BA133" s="24"/>
    </row>
    <row r="134" spans="1:53" ht="5.0999999999999996" customHeight="1">
      <c r="A134" s="25"/>
      <c r="B134" s="64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24"/>
    </row>
    <row r="135" spans="1:53" ht="15" customHeight="1">
      <c r="A135" s="25"/>
      <c r="B135" s="90" t="s">
        <v>48</v>
      </c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  <c r="AA135" s="90"/>
      <c r="AB135" s="90"/>
      <c r="AC135" s="90"/>
      <c r="AD135" s="90"/>
      <c r="AE135" s="90"/>
      <c r="AF135" s="90"/>
      <c r="AG135" s="90"/>
      <c r="AH135" s="90"/>
      <c r="AI135" s="90"/>
      <c r="AJ135" s="90"/>
      <c r="AK135" s="90"/>
      <c r="AL135" s="90"/>
      <c r="AM135" s="90"/>
      <c r="AN135" s="90"/>
      <c r="AO135" s="90"/>
      <c r="AP135" s="90"/>
      <c r="AQ135" s="90"/>
      <c r="AR135" s="90"/>
      <c r="AS135" s="90"/>
      <c r="AT135" s="90"/>
      <c r="AU135" s="90"/>
      <c r="AV135" s="90"/>
      <c r="AW135" s="90"/>
      <c r="AX135" s="90"/>
      <c r="AY135" s="90"/>
      <c r="AZ135" s="90"/>
      <c r="BA135" s="24"/>
    </row>
    <row r="136" spans="1:53" ht="15" customHeight="1">
      <c r="A136" s="25"/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  <c r="AG136" s="90"/>
      <c r="AH136" s="90"/>
      <c r="AI136" s="90"/>
      <c r="AJ136" s="90"/>
      <c r="AK136" s="90"/>
      <c r="AL136" s="90"/>
      <c r="AM136" s="90"/>
      <c r="AN136" s="90"/>
      <c r="AO136" s="90"/>
      <c r="AP136" s="90"/>
      <c r="AQ136" s="90"/>
      <c r="AR136" s="90"/>
      <c r="AS136" s="90"/>
      <c r="AT136" s="90"/>
      <c r="AU136" s="90"/>
      <c r="AV136" s="90"/>
      <c r="AW136" s="90"/>
      <c r="AX136" s="90"/>
      <c r="AY136" s="90"/>
      <c r="AZ136" s="90"/>
      <c r="BA136" s="24"/>
    </row>
    <row r="137" spans="1:53" ht="15" customHeight="1">
      <c r="A137" s="25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24"/>
    </row>
    <row r="138" spans="1:53" ht="15" customHeight="1">
      <c r="A138" s="25"/>
      <c r="B138" s="93" t="s">
        <v>49</v>
      </c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  <c r="AM138" s="93"/>
      <c r="AN138" s="93"/>
      <c r="AO138" s="93"/>
      <c r="AP138" s="93"/>
      <c r="AQ138" s="93"/>
      <c r="AR138" s="93"/>
      <c r="AS138" s="93"/>
      <c r="AT138" s="93"/>
      <c r="AU138" s="93"/>
      <c r="AV138" s="93"/>
      <c r="AW138" s="93"/>
      <c r="AX138" s="93"/>
      <c r="AY138" s="93"/>
      <c r="AZ138" s="93"/>
      <c r="BA138" s="24"/>
    </row>
    <row r="139" spans="1:53" ht="5.0999999999999996" customHeight="1">
      <c r="A139" s="25"/>
      <c r="B139" s="64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6"/>
      <c r="BA139" s="24"/>
    </row>
    <row r="140" spans="1:53" ht="15" customHeight="1">
      <c r="A140" s="25"/>
      <c r="B140" s="90" t="s">
        <v>50</v>
      </c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90"/>
      <c r="AB140" s="90"/>
      <c r="AC140" s="90"/>
      <c r="AD140" s="90"/>
      <c r="AE140" s="90"/>
      <c r="AF140" s="90"/>
      <c r="AG140" s="90"/>
      <c r="AH140" s="90"/>
      <c r="AI140" s="90"/>
      <c r="AJ140" s="90"/>
      <c r="AK140" s="90"/>
      <c r="AL140" s="90"/>
      <c r="AM140" s="90"/>
      <c r="AN140" s="90"/>
      <c r="AO140" s="90"/>
      <c r="AP140" s="90"/>
      <c r="AQ140" s="90"/>
      <c r="AR140" s="90"/>
      <c r="AS140" s="90"/>
      <c r="AT140" s="90"/>
      <c r="AU140" s="90"/>
      <c r="AV140" s="90"/>
      <c r="AW140" s="90"/>
      <c r="AX140" s="90"/>
      <c r="AY140" s="90"/>
      <c r="AZ140" s="90"/>
      <c r="BA140" s="24"/>
    </row>
    <row r="141" spans="1:53" ht="15" customHeight="1">
      <c r="A141" s="25"/>
      <c r="B141" s="90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90"/>
      <c r="AB141" s="90"/>
      <c r="AC141" s="90"/>
      <c r="AD141" s="90"/>
      <c r="AE141" s="90"/>
      <c r="AF141" s="90"/>
      <c r="AG141" s="90"/>
      <c r="AH141" s="90"/>
      <c r="AI141" s="90"/>
      <c r="AJ141" s="90"/>
      <c r="AK141" s="90"/>
      <c r="AL141" s="90"/>
      <c r="AM141" s="90"/>
      <c r="AN141" s="90"/>
      <c r="AO141" s="90"/>
      <c r="AP141" s="90"/>
      <c r="AQ141" s="90"/>
      <c r="AR141" s="90"/>
      <c r="AS141" s="90"/>
      <c r="AT141" s="90"/>
      <c r="AU141" s="90"/>
      <c r="AV141" s="90"/>
      <c r="AW141" s="90"/>
      <c r="AX141" s="90"/>
      <c r="AY141" s="90"/>
      <c r="AZ141" s="90"/>
      <c r="BA141" s="24"/>
    </row>
    <row r="142" spans="1:53" ht="15" customHeight="1">
      <c r="A142" s="25"/>
      <c r="B142" s="90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  <c r="AA142" s="90"/>
      <c r="AB142" s="90"/>
      <c r="AC142" s="90"/>
      <c r="AD142" s="90"/>
      <c r="AE142" s="90"/>
      <c r="AF142" s="90"/>
      <c r="AG142" s="90"/>
      <c r="AH142" s="90"/>
      <c r="AI142" s="90"/>
      <c r="AJ142" s="90"/>
      <c r="AK142" s="90"/>
      <c r="AL142" s="90"/>
      <c r="AM142" s="90"/>
      <c r="AN142" s="90"/>
      <c r="AO142" s="90"/>
      <c r="AP142" s="90"/>
      <c r="AQ142" s="90"/>
      <c r="AR142" s="90"/>
      <c r="AS142" s="90"/>
      <c r="AT142" s="90"/>
      <c r="AU142" s="90"/>
      <c r="AV142" s="90"/>
      <c r="AW142" s="90"/>
      <c r="AX142" s="90"/>
      <c r="AY142" s="90"/>
      <c r="AZ142" s="90"/>
      <c r="BA142" s="24"/>
    </row>
    <row r="143" spans="1:53" ht="15" customHeight="1">
      <c r="A143" s="25"/>
      <c r="B143" s="64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  <c r="BA143" s="24"/>
    </row>
    <row r="144" spans="1:53" ht="15" customHeight="1">
      <c r="A144" s="25"/>
      <c r="B144" s="93" t="s">
        <v>51</v>
      </c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3"/>
      <c r="AM144" s="93"/>
      <c r="AN144" s="93"/>
      <c r="AO144" s="93"/>
      <c r="AP144" s="93"/>
      <c r="AQ144" s="93"/>
      <c r="AR144" s="93"/>
      <c r="AS144" s="93"/>
      <c r="AT144" s="93"/>
      <c r="AU144" s="93"/>
      <c r="AV144" s="93"/>
      <c r="AW144" s="93"/>
      <c r="AX144" s="93"/>
      <c r="AY144" s="93"/>
      <c r="AZ144" s="93"/>
      <c r="BA144" s="24"/>
    </row>
    <row r="145" spans="1:53" ht="5.0999999999999996" customHeight="1">
      <c r="A145" s="25"/>
      <c r="B145" s="64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  <c r="BA145" s="24"/>
    </row>
    <row r="146" spans="1:53" ht="15" customHeight="1">
      <c r="A146" s="25"/>
      <c r="B146" s="90" t="s">
        <v>52</v>
      </c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  <c r="AA146" s="90"/>
      <c r="AB146" s="90"/>
      <c r="AC146" s="90"/>
      <c r="AD146" s="90"/>
      <c r="AE146" s="90"/>
      <c r="AF146" s="90"/>
      <c r="AG146" s="90"/>
      <c r="AH146" s="90"/>
      <c r="AI146" s="90"/>
      <c r="AJ146" s="90"/>
      <c r="AK146" s="90"/>
      <c r="AL146" s="90"/>
      <c r="AM146" s="90"/>
      <c r="AN146" s="90"/>
      <c r="AO146" s="90"/>
      <c r="AP146" s="90"/>
      <c r="AQ146" s="90"/>
      <c r="AR146" s="90"/>
      <c r="AS146" s="90"/>
      <c r="AT146" s="90"/>
      <c r="AU146" s="90"/>
      <c r="AV146" s="90"/>
      <c r="AW146" s="90"/>
      <c r="AX146" s="90"/>
      <c r="AY146" s="90"/>
      <c r="AZ146" s="90"/>
      <c r="BA146" s="24"/>
    </row>
    <row r="147" spans="1:53" ht="15" customHeight="1">
      <c r="A147" s="25"/>
      <c r="B147" s="90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  <c r="AA147" s="90"/>
      <c r="AB147" s="90"/>
      <c r="AC147" s="90"/>
      <c r="AD147" s="90"/>
      <c r="AE147" s="90"/>
      <c r="AF147" s="90"/>
      <c r="AG147" s="90"/>
      <c r="AH147" s="90"/>
      <c r="AI147" s="90"/>
      <c r="AJ147" s="90"/>
      <c r="AK147" s="90"/>
      <c r="AL147" s="90"/>
      <c r="AM147" s="90"/>
      <c r="AN147" s="90"/>
      <c r="AO147" s="90"/>
      <c r="AP147" s="90"/>
      <c r="AQ147" s="90"/>
      <c r="AR147" s="90"/>
      <c r="AS147" s="90"/>
      <c r="AT147" s="90"/>
      <c r="AU147" s="90"/>
      <c r="AV147" s="90"/>
      <c r="AW147" s="90"/>
      <c r="AX147" s="90"/>
      <c r="AY147" s="90"/>
      <c r="AZ147" s="90"/>
      <c r="BA147" s="24"/>
    </row>
    <row r="148" spans="1:53" ht="5.0999999999999996" customHeight="1">
      <c r="A148" s="25"/>
      <c r="B148" s="64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  <c r="AW148" s="36"/>
      <c r="AX148" s="36"/>
      <c r="AY148" s="36"/>
      <c r="AZ148" s="36"/>
      <c r="BA148" s="24"/>
    </row>
    <row r="149" spans="1:53" ht="15" customHeight="1">
      <c r="A149" s="25"/>
      <c r="B149" s="90" t="s">
        <v>53</v>
      </c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  <c r="AA149" s="90"/>
      <c r="AB149" s="90"/>
      <c r="AC149" s="90"/>
      <c r="AD149" s="90"/>
      <c r="AE149" s="90"/>
      <c r="AF149" s="90"/>
      <c r="AG149" s="90"/>
      <c r="AH149" s="90"/>
      <c r="AI149" s="90"/>
      <c r="AJ149" s="90"/>
      <c r="AK149" s="90"/>
      <c r="AL149" s="90"/>
      <c r="AM149" s="90"/>
      <c r="AN149" s="90"/>
      <c r="AO149" s="90"/>
      <c r="AP149" s="90"/>
      <c r="AQ149" s="90"/>
      <c r="AR149" s="90"/>
      <c r="AS149" s="90"/>
      <c r="AT149" s="90"/>
      <c r="AU149" s="90"/>
      <c r="AV149" s="90"/>
      <c r="AW149" s="90"/>
      <c r="AX149" s="90"/>
      <c r="AY149" s="90"/>
      <c r="AZ149" s="90"/>
      <c r="BA149" s="24"/>
    </row>
    <row r="150" spans="1:53" ht="15" customHeight="1">
      <c r="A150" s="25"/>
      <c r="B150" s="90"/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  <c r="AA150" s="90"/>
      <c r="AB150" s="90"/>
      <c r="AC150" s="90"/>
      <c r="AD150" s="90"/>
      <c r="AE150" s="90"/>
      <c r="AF150" s="90"/>
      <c r="AG150" s="90"/>
      <c r="AH150" s="90"/>
      <c r="AI150" s="90"/>
      <c r="AJ150" s="90"/>
      <c r="AK150" s="90"/>
      <c r="AL150" s="90"/>
      <c r="AM150" s="90"/>
      <c r="AN150" s="90"/>
      <c r="AO150" s="90"/>
      <c r="AP150" s="90"/>
      <c r="AQ150" s="90"/>
      <c r="AR150" s="90"/>
      <c r="AS150" s="90"/>
      <c r="AT150" s="90"/>
      <c r="AU150" s="90"/>
      <c r="AV150" s="90"/>
      <c r="AW150" s="90"/>
      <c r="AX150" s="90"/>
      <c r="AY150" s="90"/>
      <c r="AZ150" s="90"/>
      <c r="BA150" s="24"/>
    </row>
    <row r="151" spans="1:53" ht="15" customHeight="1">
      <c r="A151" s="25"/>
      <c r="B151" s="90"/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  <c r="AA151" s="90"/>
      <c r="AB151" s="90"/>
      <c r="AC151" s="90"/>
      <c r="AD151" s="90"/>
      <c r="AE151" s="90"/>
      <c r="AF151" s="90"/>
      <c r="AG151" s="90"/>
      <c r="AH151" s="90"/>
      <c r="AI151" s="90"/>
      <c r="AJ151" s="90"/>
      <c r="AK151" s="90"/>
      <c r="AL151" s="90"/>
      <c r="AM151" s="90"/>
      <c r="AN151" s="90"/>
      <c r="AO151" s="90"/>
      <c r="AP151" s="90"/>
      <c r="AQ151" s="90"/>
      <c r="AR151" s="90"/>
      <c r="AS151" s="90"/>
      <c r="AT151" s="90"/>
      <c r="AU151" s="90"/>
      <c r="AV151" s="90"/>
      <c r="AW151" s="90"/>
      <c r="AX151" s="90"/>
      <c r="AY151" s="90"/>
      <c r="AZ151" s="90"/>
      <c r="BA151" s="24"/>
    </row>
    <row r="152" spans="1:53" ht="15" customHeight="1">
      <c r="A152" s="25"/>
      <c r="B152" s="90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  <c r="AA152" s="90"/>
      <c r="AB152" s="90"/>
      <c r="AC152" s="90"/>
      <c r="AD152" s="90"/>
      <c r="AE152" s="90"/>
      <c r="AF152" s="90"/>
      <c r="AG152" s="90"/>
      <c r="AH152" s="90"/>
      <c r="AI152" s="90"/>
      <c r="AJ152" s="90"/>
      <c r="AK152" s="90"/>
      <c r="AL152" s="90"/>
      <c r="AM152" s="90"/>
      <c r="AN152" s="90"/>
      <c r="AO152" s="90"/>
      <c r="AP152" s="90"/>
      <c r="AQ152" s="90"/>
      <c r="AR152" s="90"/>
      <c r="AS152" s="90"/>
      <c r="AT152" s="90"/>
      <c r="AU152" s="90"/>
      <c r="AV152" s="90"/>
      <c r="AW152" s="90"/>
      <c r="AX152" s="90"/>
      <c r="AY152" s="90"/>
      <c r="AZ152" s="90"/>
      <c r="BA152" s="24"/>
    </row>
    <row r="153" spans="1:53" ht="5.0999999999999996" customHeight="1">
      <c r="A153" s="25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24"/>
    </row>
    <row r="154" spans="1:53" ht="15" customHeight="1">
      <c r="A154" s="25"/>
      <c r="B154" s="90" t="s">
        <v>54</v>
      </c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  <c r="AA154" s="90"/>
      <c r="AB154" s="90"/>
      <c r="AC154" s="90"/>
      <c r="AD154" s="90"/>
      <c r="AE154" s="90"/>
      <c r="AF154" s="90"/>
      <c r="AG154" s="90"/>
      <c r="AH154" s="90"/>
      <c r="AI154" s="90"/>
      <c r="AJ154" s="90"/>
      <c r="AK154" s="90"/>
      <c r="AL154" s="90"/>
      <c r="AM154" s="90"/>
      <c r="AN154" s="90"/>
      <c r="AO154" s="90"/>
      <c r="AP154" s="90"/>
      <c r="AQ154" s="90"/>
      <c r="AR154" s="90"/>
      <c r="AS154" s="90"/>
      <c r="AT154" s="90"/>
      <c r="AU154" s="90"/>
      <c r="AV154" s="90"/>
      <c r="AW154" s="90"/>
      <c r="AX154" s="90"/>
      <c r="AY154" s="90"/>
      <c r="AZ154" s="90"/>
      <c r="BA154" s="24"/>
    </row>
    <row r="155" spans="1:53" ht="15" customHeight="1">
      <c r="A155" s="25"/>
      <c r="B155" s="90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  <c r="AH155" s="90"/>
      <c r="AI155" s="90"/>
      <c r="AJ155" s="90"/>
      <c r="AK155" s="90"/>
      <c r="AL155" s="90"/>
      <c r="AM155" s="90"/>
      <c r="AN155" s="90"/>
      <c r="AO155" s="90"/>
      <c r="AP155" s="90"/>
      <c r="AQ155" s="90"/>
      <c r="AR155" s="90"/>
      <c r="AS155" s="90"/>
      <c r="AT155" s="90"/>
      <c r="AU155" s="90"/>
      <c r="AV155" s="90"/>
      <c r="AW155" s="90"/>
      <c r="AX155" s="90"/>
      <c r="AY155" s="90"/>
      <c r="AZ155" s="90"/>
      <c r="BA155" s="24"/>
    </row>
    <row r="156" spans="1:53" ht="15" customHeight="1">
      <c r="A156" s="25"/>
      <c r="B156" s="90"/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  <c r="AA156" s="90"/>
      <c r="AB156" s="90"/>
      <c r="AC156" s="90"/>
      <c r="AD156" s="90"/>
      <c r="AE156" s="90"/>
      <c r="AF156" s="90"/>
      <c r="AG156" s="90"/>
      <c r="AH156" s="90"/>
      <c r="AI156" s="90"/>
      <c r="AJ156" s="90"/>
      <c r="AK156" s="90"/>
      <c r="AL156" s="90"/>
      <c r="AM156" s="90"/>
      <c r="AN156" s="90"/>
      <c r="AO156" s="90"/>
      <c r="AP156" s="90"/>
      <c r="AQ156" s="90"/>
      <c r="AR156" s="90"/>
      <c r="AS156" s="90"/>
      <c r="AT156" s="90"/>
      <c r="AU156" s="90"/>
      <c r="AV156" s="90"/>
      <c r="AW156" s="90"/>
      <c r="AX156" s="90"/>
      <c r="AY156" s="90"/>
      <c r="AZ156" s="90"/>
      <c r="BA156" s="24"/>
    </row>
    <row r="157" spans="1:53" ht="15" customHeight="1">
      <c r="A157" s="25"/>
      <c r="B157" s="90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  <c r="AA157" s="90"/>
      <c r="AB157" s="90"/>
      <c r="AC157" s="90"/>
      <c r="AD157" s="90"/>
      <c r="AE157" s="90"/>
      <c r="AF157" s="90"/>
      <c r="AG157" s="90"/>
      <c r="AH157" s="90"/>
      <c r="AI157" s="90"/>
      <c r="AJ157" s="90"/>
      <c r="AK157" s="90"/>
      <c r="AL157" s="90"/>
      <c r="AM157" s="90"/>
      <c r="AN157" s="90"/>
      <c r="AO157" s="90"/>
      <c r="AP157" s="90"/>
      <c r="AQ157" s="90"/>
      <c r="AR157" s="90"/>
      <c r="AS157" s="90"/>
      <c r="AT157" s="90"/>
      <c r="AU157" s="90"/>
      <c r="AV157" s="90"/>
      <c r="AW157" s="90"/>
      <c r="AX157" s="90"/>
      <c r="AY157" s="90"/>
      <c r="AZ157" s="90"/>
      <c r="BA157" s="24"/>
    </row>
    <row r="158" spans="1:53" ht="15" customHeight="1">
      <c r="A158" s="25"/>
      <c r="B158" s="90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  <c r="AA158" s="90"/>
      <c r="AB158" s="90"/>
      <c r="AC158" s="90"/>
      <c r="AD158" s="90"/>
      <c r="AE158" s="90"/>
      <c r="AF158" s="90"/>
      <c r="AG158" s="90"/>
      <c r="AH158" s="90"/>
      <c r="AI158" s="90"/>
      <c r="AJ158" s="90"/>
      <c r="AK158" s="90"/>
      <c r="AL158" s="90"/>
      <c r="AM158" s="90"/>
      <c r="AN158" s="90"/>
      <c r="AO158" s="90"/>
      <c r="AP158" s="90"/>
      <c r="AQ158" s="90"/>
      <c r="AR158" s="90"/>
      <c r="AS158" s="90"/>
      <c r="AT158" s="90"/>
      <c r="AU158" s="90"/>
      <c r="AV158" s="90"/>
      <c r="AW158" s="90"/>
      <c r="AX158" s="90"/>
      <c r="AY158" s="90"/>
      <c r="AZ158" s="90"/>
      <c r="BA158" s="24"/>
    </row>
    <row r="159" spans="1:53" ht="15" customHeight="1">
      <c r="A159" s="25"/>
      <c r="B159" s="90"/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  <c r="AA159" s="90"/>
      <c r="AB159" s="90"/>
      <c r="AC159" s="90"/>
      <c r="AD159" s="90"/>
      <c r="AE159" s="90"/>
      <c r="AF159" s="90"/>
      <c r="AG159" s="90"/>
      <c r="AH159" s="90"/>
      <c r="AI159" s="90"/>
      <c r="AJ159" s="90"/>
      <c r="AK159" s="90"/>
      <c r="AL159" s="90"/>
      <c r="AM159" s="90"/>
      <c r="AN159" s="90"/>
      <c r="AO159" s="90"/>
      <c r="AP159" s="90"/>
      <c r="AQ159" s="90"/>
      <c r="AR159" s="90"/>
      <c r="AS159" s="90"/>
      <c r="AT159" s="90"/>
      <c r="AU159" s="90"/>
      <c r="AV159" s="90"/>
      <c r="AW159" s="90"/>
      <c r="AX159" s="90"/>
      <c r="AY159" s="90"/>
      <c r="AZ159" s="90"/>
      <c r="BA159" s="24"/>
    </row>
    <row r="160" spans="1:53" ht="15" customHeight="1">
      <c r="A160" s="25"/>
      <c r="B160" s="90"/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  <c r="AA160" s="90"/>
      <c r="AB160" s="90"/>
      <c r="AC160" s="90"/>
      <c r="AD160" s="90"/>
      <c r="AE160" s="90"/>
      <c r="AF160" s="90"/>
      <c r="AG160" s="90"/>
      <c r="AH160" s="90"/>
      <c r="AI160" s="90"/>
      <c r="AJ160" s="90"/>
      <c r="AK160" s="90"/>
      <c r="AL160" s="90"/>
      <c r="AM160" s="90"/>
      <c r="AN160" s="90"/>
      <c r="AO160" s="90"/>
      <c r="AP160" s="90"/>
      <c r="AQ160" s="90"/>
      <c r="AR160" s="90"/>
      <c r="AS160" s="90"/>
      <c r="AT160" s="90"/>
      <c r="AU160" s="90"/>
      <c r="AV160" s="90"/>
      <c r="AW160" s="90"/>
      <c r="AX160" s="90"/>
      <c r="AY160" s="90"/>
      <c r="AZ160" s="90"/>
      <c r="BA160" s="24"/>
    </row>
    <row r="161" spans="1:53" ht="15" customHeight="1">
      <c r="A161" s="25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  <c r="AW161" s="36"/>
      <c r="AX161" s="36"/>
      <c r="AY161" s="36"/>
      <c r="AZ161" s="36"/>
      <c r="BA161" s="24"/>
    </row>
    <row r="162" spans="1:53" ht="15" customHeight="1">
      <c r="A162" s="25"/>
      <c r="B162" s="93" t="s">
        <v>55</v>
      </c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  <c r="AM162" s="93"/>
      <c r="AN162" s="93"/>
      <c r="AO162" s="93"/>
      <c r="AP162" s="93"/>
      <c r="AQ162" s="93"/>
      <c r="AR162" s="93"/>
      <c r="AS162" s="93"/>
      <c r="AT162" s="93"/>
      <c r="AU162" s="93"/>
      <c r="AV162" s="93"/>
      <c r="AW162" s="93"/>
      <c r="AX162" s="93"/>
      <c r="AY162" s="93"/>
      <c r="AZ162" s="93"/>
      <c r="BA162" s="24"/>
    </row>
    <row r="163" spans="1:53" ht="5.0999999999999996" customHeight="1">
      <c r="A163" s="25"/>
      <c r="B163" s="64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  <c r="AW163" s="36"/>
      <c r="AX163" s="36"/>
      <c r="AY163" s="36"/>
      <c r="AZ163" s="36"/>
      <c r="BA163" s="24"/>
    </row>
    <row r="164" spans="1:53" ht="15" customHeight="1">
      <c r="A164" s="25"/>
      <c r="B164" s="90" t="s">
        <v>56</v>
      </c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  <c r="AA164" s="90"/>
      <c r="AB164" s="90"/>
      <c r="AC164" s="90"/>
      <c r="AD164" s="90"/>
      <c r="AE164" s="90"/>
      <c r="AF164" s="90"/>
      <c r="AG164" s="90"/>
      <c r="AH164" s="90"/>
      <c r="AI164" s="90"/>
      <c r="AJ164" s="90"/>
      <c r="AK164" s="90"/>
      <c r="AL164" s="90"/>
      <c r="AM164" s="90"/>
      <c r="AN164" s="90"/>
      <c r="AO164" s="90"/>
      <c r="AP164" s="90"/>
      <c r="AQ164" s="90"/>
      <c r="AR164" s="90"/>
      <c r="AS164" s="90"/>
      <c r="AT164" s="90"/>
      <c r="AU164" s="90"/>
      <c r="AV164" s="90"/>
      <c r="AW164" s="90"/>
      <c r="AX164" s="90"/>
      <c r="AY164" s="90"/>
      <c r="AZ164" s="90"/>
      <c r="BA164" s="24"/>
    </row>
    <row r="165" spans="1:53" ht="15" customHeight="1">
      <c r="A165" s="25"/>
      <c r="B165" s="90"/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  <c r="AA165" s="90"/>
      <c r="AB165" s="90"/>
      <c r="AC165" s="90"/>
      <c r="AD165" s="90"/>
      <c r="AE165" s="90"/>
      <c r="AF165" s="90"/>
      <c r="AG165" s="90"/>
      <c r="AH165" s="90"/>
      <c r="AI165" s="90"/>
      <c r="AJ165" s="90"/>
      <c r="AK165" s="90"/>
      <c r="AL165" s="90"/>
      <c r="AM165" s="90"/>
      <c r="AN165" s="90"/>
      <c r="AO165" s="90"/>
      <c r="AP165" s="90"/>
      <c r="AQ165" s="90"/>
      <c r="AR165" s="90"/>
      <c r="AS165" s="90"/>
      <c r="AT165" s="90"/>
      <c r="AU165" s="90"/>
      <c r="AV165" s="90"/>
      <c r="AW165" s="90"/>
      <c r="AX165" s="90"/>
      <c r="AY165" s="90"/>
      <c r="AZ165" s="90"/>
      <c r="BA165" s="24"/>
    </row>
    <row r="166" spans="1:53" ht="15" customHeight="1">
      <c r="A166" s="25"/>
      <c r="B166" s="90"/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  <c r="AA166" s="90"/>
      <c r="AB166" s="90"/>
      <c r="AC166" s="90"/>
      <c r="AD166" s="90"/>
      <c r="AE166" s="90"/>
      <c r="AF166" s="90"/>
      <c r="AG166" s="90"/>
      <c r="AH166" s="90"/>
      <c r="AI166" s="90"/>
      <c r="AJ166" s="90"/>
      <c r="AK166" s="90"/>
      <c r="AL166" s="90"/>
      <c r="AM166" s="90"/>
      <c r="AN166" s="90"/>
      <c r="AO166" s="90"/>
      <c r="AP166" s="90"/>
      <c r="AQ166" s="90"/>
      <c r="AR166" s="90"/>
      <c r="AS166" s="90"/>
      <c r="AT166" s="90"/>
      <c r="AU166" s="90"/>
      <c r="AV166" s="90"/>
      <c r="AW166" s="90"/>
      <c r="AX166" s="90"/>
      <c r="AY166" s="90"/>
      <c r="AZ166" s="90"/>
      <c r="BA166" s="24"/>
    </row>
    <row r="167" spans="1:53" ht="15" customHeight="1">
      <c r="A167" s="61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5"/>
      <c r="AD167" s="105"/>
      <c r="AE167" s="105"/>
      <c r="AF167" s="105"/>
      <c r="AG167" s="105"/>
      <c r="AH167" s="105"/>
      <c r="AI167" s="105"/>
      <c r="AJ167" s="105"/>
      <c r="AK167" s="105"/>
      <c r="AL167" s="105"/>
      <c r="AM167" s="105"/>
      <c r="AN167" s="105"/>
      <c r="AO167" s="105"/>
      <c r="AP167" s="105"/>
      <c r="AQ167" s="105"/>
      <c r="AR167" s="105"/>
      <c r="AS167" s="105"/>
      <c r="AT167" s="105"/>
      <c r="AU167" s="105"/>
      <c r="AV167" s="105"/>
      <c r="AW167" s="105"/>
      <c r="AX167" s="105"/>
      <c r="AY167" s="105"/>
      <c r="AZ167" s="105"/>
      <c r="BA167" s="62"/>
    </row>
    <row r="168" spans="1:53" ht="5.0999999999999996" customHeight="1">
      <c r="B168" s="65"/>
    </row>
    <row r="169" spans="1:53" ht="15" customHeight="1">
      <c r="B169" s="65"/>
    </row>
    <row r="170" spans="1:53" ht="15" customHeight="1">
      <c r="A170" s="102" t="s">
        <v>57</v>
      </c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  <c r="AB170" s="102"/>
      <c r="AC170" s="102"/>
      <c r="AD170" s="102"/>
      <c r="AE170" s="102"/>
      <c r="AF170" s="102"/>
      <c r="AG170" s="102"/>
      <c r="AH170" s="102"/>
      <c r="AI170" s="102"/>
      <c r="AJ170" s="102"/>
      <c r="AK170" s="102"/>
      <c r="AL170" s="102"/>
      <c r="AM170" s="102"/>
      <c r="AN170" s="102"/>
      <c r="AO170" s="102"/>
      <c r="AP170" s="102"/>
      <c r="AQ170" s="102"/>
      <c r="AR170" s="102"/>
      <c r="AS170" s="102"/>
      <c r="AT170" s="102"/>
      <c r="AU170" s="102"/>
      <c r="AV170" s="102"/>
      <c r="AW170" s="102"/>
      <c r="AX170" s="102"/>
      <c r="AY170" s="102"/>
      <c r="AZ170" s="102"/>
      <c r="BA170" s="102"/>
    </row>
    <row r="171" spans="1:53" ht="15" customHeight="1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  <c r="AA171" s="102"/>
      <c r="AB171" s="102"/>
      <c r="AC171" s="102"/>
      <c r="AD171" s="102"/>
      <c r="AE171" s="102"/>
      <c r="AF171" s="102"/>
      <c r="AG171" s="102"/>
      <c r="AH171" s="102"/>
      <c r="AI171" s="102"/>
      <c r="AJ171" s="102"/>
      <c r="AK171" s="102"/>
      <c r="AL171" s="102"/>
      <c r="AM171" s="102"/>
      <c r="AN171" s="102"/>
      <c r="AO171" s="102"/>
      <c r="AP171" s="102"/>
      <c r="AQ171" s="102"/>
      <c r="AR171" s="102"/>
      <c r="AS171" s="102"/>
      <c r="AT171" s="102"/>
      <c r="AU171" s="102"/>
      <c r="AV171" s="102"/>
      <c r="AW171" s="102"/>
      <c r="AX171" s="102"/>
      <c r="AY171" s="102"/>
      <c r="AZ171" s="102"/>
      <c r="BA171" s="102"/>
    </row>
    <row r="172" spans="1:53" ht="15" customHeight="1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  <c r="AA172" s="102"/>
      <c r="AB172" s="102"/>
      <c r="AC172" s="102"/>
      <c r="AD172" s="102"/>
      <c r="AE172" s="102"/>
      <c r="AF172" s="102"/>
      <c r="AG172" s="102"/>
      <c r="AH172" s="102"/>
      <c r="AI172" s="102"/>
      <c r="AJ172" s="102"/>
      <c r="AK172" s="102"/>
      <c r="AL172" s="102"/>
      <c r="AM172" s="102"/>
      <c r="AN172" s="102"/>
      <c r="AO172" s="102"/>
      <c r="AP172" s="102"/>
      <c r="AQ172" s="102"/>
      <c r="AR172" s="102"/>
      <c r="AS172" s="102"/>
      <c r="AT172" s="102"/>
      <c r="AU172" s="102"/>
      <c r="AV172" s="102"/>
      <c r="AW172" s="102"/>
      <c r="AX172" s="102"/>
      <c r="AY172" s="102"/>
      <c r="AZ172" s="102"/>
      <c r="BA172" s="102"/>
    </row>
    <row r="173" spans="1:53" ht="15" customHeight="1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  <c r="AA173" s="102"/>
      <c r="AB173" s="102"/>
      <c r="AC173" s="102"/>
      <c r="AD173" s="102"/>
      <c r="AE173" s="102"/>
      <c r="AF173" s="102"/>
      <c r="AG173" s="102"/>
      <c r="AH173" s="102"/>
      <c r="AI173" s="102"/>
      <c r="AJ173" s="102"/>
      <c r="AK173" s="102"/>
      <c r="AL173" s="102"/>
      <c r="AM173" s="102"/>
      <c r="AN173" s="102"/>
      <c r="AO173" s="102"/>
      <c r="AP173" s="102"/>
      <c r="AQ173" s="102"/>
      <c r="AR173" s="102"/>
      <c r="AS173" s="102"/>
      <c r="AT173" s="102"/>
      <c r="AU173" s="102"/>
      <c r="AV173" s="102"/>
      <c r="AW173" s="102"/>
      <c r="AX173" s="102"/>
      <c r="AY173" s="102"/>
      <c r="AZ173" s="102"/>
      <c r="BA173" s="102"/>
    </row>
    <row r="174" spans="1:53" ht="15" customHeight="1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  <c r="AA174" s="102"/>
      <c r="AB174" s="102"/>
      <c r="AC174" s="102"/>
      <c r="AD174" s="102"/>
      <c r="AE174" s="102"/>
      <c r="AF174" s="102"/>
      <c r="AG174" s="102"/>
      <c r="AH174" s="102"/>
      <c r="AI174" s="102"/>
      <c r="AJ174" s="102"/>
      <c r="AK174" s="102"/>
      <c r="AL174" s="102"/>
      <c r="AM174" s="102"/>
      <c r="AN174" s="102"/>
      <c r="AO174" s="102"/>
      <c r="AP174" s="102"/>
      <c r="AQ174" s="102"/>
      <c r="AR174" s="102"/>
      <c r="AS174" s="102"/>
      <c r="AT174" s="102"/>
      <c r="AU174" s="102"/>
      <c r="AV174" s="102"/>
      <c r="AW174" s="102"/>
      <c r="AX174" s="102"/>
      <c r="AY174" s="102"/>
      <c r="AZ174" s="102"/>
      <c r="BA174" s="102"/>
    </row>
    <row r="175" spans="1:53" ht="5.0999999999999996" customHeight="1">
      <c r="B175" s="65"/>
    </row>
    <row r="176" spans="1:53" ht="15" customHeight="1">
      <c r="B176" s="101" t="str">
        <f>"Ferraz de Vasconcelos, "</f>
        <v xml:space="preserve">Ferraz de Vasconcelos, </v>
      </c>
      <c r="C176" s="101"/>
      <c r="D176" s="101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4">
        <f ca="1">TODAY()</f>
      </c>
      <c r="Q176" s="104"/>
      <c r="R176" s="104"/>
      <c r="S176" s="104"/>
      <c r="T176" s="104"/>
      <c r="U176" s="104"/>
      <c r="V176" s="104"/>
      <c r="W176" s="104"/>
      <c r="X176" s="66" t="str">
        <f>"."</f>
      </c>
      <c r="Y176" s="67"/>
      <c r="Z176" s="67"/>
      <c r="AA176" s="67"/>
      <c r="AB176" s="67"/>
      <c r="AC176" s="67"/>
      <c r="AD176" s="67"/>
      <c r="AE176" s="67"/>
      <c r="AF176" s="67"/>
      <c r="AG176" s="67"/>
      <c r="AH176" s="67"/>
      <c r="AI176" s="67"/>
      <c r="AJ176" s="67"/>
      <c r="AK176" s="67"/>
      <c r="AL176" s="67"/>
      <c r="AM176" s="67"/>
      <c r="AN176" s="67"/>
      <c r="AO176" s="67"/>
      <c r="AP176" s="67"/>
      <c r="AQ176" s="67"/>
      <c r="AR176" s="67"/>
      <c r="AS176" s="67"/>
      <c r="AT176" s="67"/>
      <c r="AU176" s="67"/>
      <c r="AV176" s="67"/>
      <c r="AW176" s="67"/>
      <c r="AX176" s="67"/>
      <c r="AY176" s="67"/>
      <c r="AZ176" s="67"/>
    </row>
    <row r="177" spans="2:62" ht="15" customHeight="1">
      <c r="B177" s="65"/>
    </row>
    <row r="178" spans="2:62" ht="15" customHeight="1">
      <c r="B178" s="65"/>
    </row>
    <row r="179" spans="2:62" ht="15" customHeight="1">
      <c r="B179" s="65"/>
    </row>
    <row r="180" spans="2:62" ht="15" customHeight="1">
      <c r="B180" s="65"/>
    </row>
    <row r="181" spans="2:62" ht="15" customHeight="1">
      <c r="B181" s="65"/>
    </row>
    <row r="182" spans="2:62" ht="15" customHeight="1">
      <c r="B182" s="65"/>
    </row>
    <row r="183" spans="2:62" ht="15" customHeight="1"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AD183" s="97"/>
      <c r="AE183" s="97"/>
      <c r="AF183" s="97"/>
      <c r="AG183" s="97"/>
      <c r="AH183" s="97"/>
      <c r="AI183" s="97"/>
      <c r="AJ183" s="97"/>
      <c r="AK183" s="97"/>
      <c r="AL183" s="97"/>
      <c r="AM183" s="97"/>
      <c r="AN183" s="97"/>
      <c r="AO183" s="97"/>
      <c r="AP183" s="97"/>
      <c r="AQ183" s="97"/>
      <c r="AR183" s="97"/>
      <c r="AS183" s="97"/>
      <c r="AT183" s="97"/>
      <c r="AU183" s="97"/>
      <c r="AV183" s="97"/>
      <c r="AW183" s="97"/>
      <c r="AX183" s="97"/>
      <c r="AY183" s="97"/>
      <c r="AZ183" s="97"/>
      <c r="BA183" s="36"/>
      <c r="BB183" s="36"/>
      <c r="BC183" s="36"/>
      <c r="BD183" s="36"/>
      <c r="BE183" s="36"/>
      <c r="BF183" s="36"/>
      <c r="BG183" s="36"/>
      <c r="BH183" s="36"/>
      <c r="BI183" s="36"/>
      <c r="BJ183" s="36"/>
    </row>
    <row r="184" spans="2:62" ht="15" customHeight="1">
      <c r="B184" s="98" t="str">
        <f>C16</f>
      </c>
      <c r="C184" s="98"/>
      <c r="D184" s="98"/>
      <c r="E184" s="98"/>
      <c r="F184" s="98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AD184" s="98" t="s">
        <v>58</v>
      </c>
      <c r="AE184" s="98"/>
      <c r="AF184" s="98"/>
      <c r="AG184" s="98"/>
      <c r="AH184" s="98"/>
      <c r="AI184" s="98"/>
      <c r="AJ184" s="98"/>
      <c r="AK184" s="98"/>
      <c r="AL184" s="98"/>
      <c r="AM184" s="98"/>
      <c r="AN184" s="98"/>
      <c r="AO184" s="98"/>
      <c r="AP184" s="98"/>
      <c r="AQ184" s="98"/>
      <c r="AR184" s="98"/>
      <c r="AS184" s="98"/>
      <c r="AT184" s="98"/>
      <c r="AU184" s="98"/>
      <c r="AV184" s="98"/>
      <c r="AW184" s="98"/>
      <c r="AX184" s="98"/>
      <c r="AY184" s="98"/>
      <c r="AZ184" s="98"/>
    </row>
    <row r="185" spans="2:62" ht="15" customHeight="1">
      <c r="B185" s="100" t="s">
        <v>59</v>
      </c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AD185" s="93" t="s">
        <v>60</v>
      </c>
      <c r="AE185" s="93"/>
      <c r="AF185" s="93"/>
      <c r="AG185" s="93"/>
      <c r="AH185" s="93"/>
      <c r="AI185" s="93"/>
      <c r="AJ185" s="93"/>
      <c r="AK185" s="93"/>
      <c r="AL185" s="93"/>
      <c r="AM185" s="93"/>
      <c r="AN185" s="93"/>
      <c r="AO185" s="93"/>
      <c r="AP185" s="93"/>
      <c r="AQ185" s="93"/>
      <c r="AR185" s="93"/>
      <c r="AS185" s="93"/>
      <c r="AT185" s="93"/>
      <c r="AU185" s="93"/>
      <c r="AV185" s="93"/>
      <c r="AW185" s="93"/>
      <c r="AX185" s="93"/>
      <c r="AY185" s="93"/>
      <c r="AZ185" s="93"/>
    </row>
    <row r="186" spans="2:62" ht="15" customHeight="1">
      <c r="B186" s="65"/>
    </row>
    <row r="187" spans="2:62" ht="15" customHeight="1">
      <c r="B187" s="65"/>
    </row>
    <row r="188" spans="2:62" ht="15" customHeight="1">
      <c r="B188" s="65"/>
    </row>
    <row r="189" spans="2:62" ht="15" customHeight="1">
      <c r="B189" s="101" t="s">
        <v>61</v>
      </c>
      <c r="C189" s="101"/>
      <c r="D189" s="101"/>
      <c r="E189" s="101"/>
      <c r="F189" s="10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  <c r="AA189" s="101"/>
      <c r="AB189" s="101"/>
      <c r="AC189" s="101"/>
      <c r="AD189" s="101"/>
      <c r="AE189" s="101"/>
      <c r="AF189" s="101"/>
      <c r="AG189" s="101"/>
      <c r="AH189" s="101"/>
      <c r="AI189" s="101"/>
      <c r="AJ189" s="101"/>
      <c r="AK189" s="101"/>
      <c r="AL189" s="101"/>
      <c r="AM189" s="101"/>
      <c r="AN189" s="101"/>
      <c r="AO189" s="101"/>
      <c r="AP189" s="101"/>
      <c r="AQ189" s="101"/>
      <c r="AR189" s="101"/>
      <c r="AS189" s="101"/>
      <c r="AT189" s="101"/>
      <c r="AU189" s="101"/>
      <c r="AV189" s="101"/>
      <c r="AW189" s="101"/>
      <c r="AX189" s="101"/>
      <c r="AY189" s="101"/>
      <c r="AZ189" s="101"/>
    </row>
    <row r="190" spans="2:62" ht="15" customHeight="1">
      <c r="B190" s="65"/>
    </row>
    <row r="191" spans="2:62" ht="15" customHeight="1">
      <c r="B191" s="65"/>
    </row>
    <row r="192" spans="2:62" ht="15" customHeight="1">
      <c r="B192" s="65"/>
    </row>
    <row r="193" spans="1:53" ht="15" customHeight="1">
      <c r="B193" s="65"/>
    </row>
    <row r="194" spans="1:53" ht="15" customHeight="1"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AD194" s="97"/>
      <c r="AE194" s="97"/>
      <c r="AF194" s="97"/>
      <c r="AG194" s="97"/>
      <c r="AH194" s="97"/>
      <c r="AI194" s="97"/>
      <c r="AJ194" s="97"/>
      <c r="AK194" s="97"/>
      <c r="AL194" s="97"/>
      <c r="AM194" s="97"/>
      <c r="AN194" s="97"/>
      <c r="AO194" s="97"/>
      <c r="AP194" s="97"/>
      <c r="AQ194" s="97"/>
      <c r="AR194" s="97"/>
      <c r="AS194" s="97"/>
      <c r="AT194" s="97"/>
      <c r="AU194" s="97"/>
      <c r="AV194" s="97"/>
      <c r="AW194" s="97"/>
      <c r="AX194" s="97"/>
      <c r="AY194" s="97"/>
      <c r="AZ194" s="97"/>
    </row>
    <row r="195" spans="1:53" ht="15" customHeight="1">
      <c r="B195" s="65"/>
      <c r="AF195" s="65"/>
    </row>
    <row r="196" spans="1:53" ht="15" customHeight="1">
      <c r="B196" s="99" t="s">
        <v>62</v>
      </c>
      <c r="C196" s="99"/>
      <c r="D196" s="99"/>
      <c r="E196" s="99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AD196" s="99" t="s">
        <v>62</v>
      </c>
      <c r="AE196" s="99"/>
      <c r="AF196" s="99"/>
      <c r="AG196" s="99"/>
      <c r="AH196" s="99"/>
      <c r="AI196" s="99"/>
      <c r="AJ196" s="99"/>
      <c r="AK196" s="99"/>
      <c r="AL196" s="99"/>
      <c r="AM196" s="99"/>
      <c r="AN196" s="99"/>
      <c r="AO196" s="99"/>
      <c r="AP196" s="99"/>
      <c r="AQ196" s="99"/>
      <c r="AR196" s="99"/>
      <c r="AS196" s="99"/>
      <c r="AT196" s="99"/>
      <c r="AU196" s="99"/>
      <c r="AV196" s="99"/>
      <c r="AW196" s="99"/>
      <c r="AX196" s="99"/>
      <c r="AY196" s="99"/>
      <c r="AZ196" s="99"/>
    </row>
    <row r="197" spans="1:53" ht="15" customHeight="1"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36"/>
      <c r="Z197" s="36"/>
      <c r="AA197" s="36"/>
      <c r="AB197" s="36"/>
      <c r="AC197" s="36"/>
      <c r="AD197" s="68"/>
      <c r="AE197" s="68"/>
      <c r="AF197" s="68"/>
      <c r="AG197" s="68"/>
      <c r="AH197" s="68"/>
      <c r="AI197" s="68"/>
      <c r="AJ197" s="68"/>
      <c r="AK197" s="68"/>
      <c r="AL197" s="68"/>
      <c r="AM197" s="68"/>
      <c r="AN197" s="68"/>
      <c r="AO197" s="68"/>
      <c r="AP197" s="68"/>
      <c r="AQ197" s="68"/>
      <c r="AR197" s="68"/>
      <c r="AS197" s="68"/>
      <c r="AT197" s="68"/>
      <c r="AU197" s="68"/>
      <c r="AV197" s="68"/>
      <c r="AW197" s="68"/>
      <c r="AX197" s="68"/>
      <c r="AY197" s="68"/>
      <c r="AZ197" s="68"/>
    </row>
    <row r="198" spans="1:53" ht="15" customHeight="1">
      <c r="B198" s="99" t="s">
        <v>63</v>
      </c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AD198" s="99" t="s">
        <v>63</v>
      </c>
      <c r="AE198" s="99"/>
      <c r="AF198" s="99"/>
      <c r="AG198" s="99"/>
      <c r="AH198" s="99"/>
      <c r="AI198" s="99"/>
      <c r="AJ198" s="99"/>
      <c r="AK198" s="99"/>
      <c r="AL198" s="99"/>
      <c r="AM198" s="99"/>
      <c r="AN198" s="99"/>
      <c r="AO198" s="99"/>
      <c r="AP198" s="99"/>
      <c r="AQ198" s="99"/>
      <c r="AR198" s="99"/>
      <c r="AS198" s="99"/>
      <c r="AT198" s="99"/>
      <c r="AU198" s="99"/>
      <c r="AV198" s="99"/>
      <c r="AW198" s="99"/>
      <c r="AX198" s="99"/>
      <c r="AY198" s="99"/>
      <c r="AZ198" s="99"/>
    </row>
    <row r="199" spans="1:53" ht="15" customHeight="1">
      <c r="B199" s="65"/>
      <c r="AF199" s="65"/>
    </row>
    <row r="200" spans="1:53" ht="15" customHeight="1">
      <c r="B200" s="65"/>
      <c r="AF200" s="65"/>
    </row>
    <row r="201" spans="1:53" ht="15" customHeight="1">
      <c r="B201" s="65"/>
      <c r="AF201" s="65"/>
    </row>
    <row r="202" spans="1:53" ht="15" customHeight="1">
      <c r="B202" s="65"/>
      <c r="AF202" s="65"/>
    </row>
    <row r="203" spans="1:53" ht="15" customHeight="1">
      <c r="B203" s="65"/>
    </row>
    <row r="204" spans="1:53" ht="15" customHeight="1">
      <c r="B204" s="100" t="s">
        <v>64</v>
      </c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  <c r="AF204" s="100"/>
      <c r="AG204" s="100"/>
      <c r="AH204" s="100"/>
      <c r="AI204" s="100"/>
      <c r="AJ204" s="100"/>
      <c r="AK204" s="100"/>
      <c r="AL204" s="100"/>
      <c r="AM204" s="100"/>
      <c r="AN204" s="100"/>
      <c r="AO204" s="100"/>
      <c r="AP204" s="100"/>
      <c r="AQ204" s="100"/>
      <c r="AR204" s="100"/>
      <c r="AS204" s="100"/>
      <c r="AT204" s="100"/>
      <c r="AU204" s="100"/>
      <c r="AV204" s="100"/>
      <c r="AW204" s="100"/>
      <c r="AX204" s="100"/>
      <c r="AY204" s="100"/>
      <c r="AZ204" s="100"/>
    </row>
    <row r="205" spans="1:53" ht="15" customHeight="1">
      <c r="B205" s="65"/>
    </row>
    <row r="206" spans="1:53" ht="15" customHeight="1">
      <c r="A206" s="102" t="s">
        <v>65</v>
      </c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  <c r="AA206" s="102"/>
      <c r="AB206" s="102"/>
      <c r="AC206" s="102"/>
      <c r="AD206" s="102"/>
      <c r="AE206" s="102"/>
      <c r="AF206" s="102"/>
      <c r="AG206" s="102"/>
      <c r="AH206" s="102"/>
      <c r="AI206" s="102"/>
      <c r="AJ206" s="102"/>
      <c r="AK206" s="102"/>
      <c r="AL206" s="102"/>
      <c r="AM206" s="102"/>
      <c r="AN206" s="102"/>
      <c r="AO206" s="102"/>
      <c r="AP206" s="102"/>
      <c r="AQ206" s="102"/>
      <c r="AR206" s="102"/>
      <c r="AS206" s="102"/>
      <c r="AT206" s="102"/>
      <c r="AU206" s="102"/>
      <c r="AV206" s="102"/>
      <c r="AW206" s="102"/>
      <c r="AX206" s="102"/>
      <c r="AY206" s="102"/>
      <c r="AZ206" s="102"/>
      <c r="BA206" s="102"/>
    </row>
    <row r="207" spans="1:53" ht="15" customHeight="1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  <c r="AA207" s="102"/>
      <c r="AB207" s="102"/>
      <c r="AC207" s="102"/>
      <c r="AD207" s="102"/>
      <c r="AE207" s="102"/>
      <c r="AF207" s="102"/>
      <c r="AG207" s="102"/>
      <c r="AH207" s="102"/>
      <c r="AI207" s="102"/>
      <c r="AJ207" s="102"/>
      <c r="AK207" s="102"/>
      <c r="AL207" s="102"/>
      <c r="AM207" s="102"/>
      <c r="AN207" s="102"/>
      <c r="AO207" s="102"/>
      <c r="AP207" s="102"/>
      <c r="AQ207" s="102"/>
      <c r="AR207" s="102"/>
      <c r="AS207" s="102"/>
      <c r="AT207" s="102"/>
      <c r="AU207" s="102"/>
      <c r="AV207" s="102"/>
      <c r="AW207" s="102"/>
      <c r="AX207" s="102"/>
      <c r="AY207" s="102"/>
      <c r="AZ207" s="102"/>
      <c r="BA207" s="102"/>
    </row>
    <row r="208" spans="1:53" ht="15" customHeight="1">
      <c r="A208" s="65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/>
      <c r="AI208" s="65"/>
      <c r="AJ208" s="65"/>
      <c r="AK208" s="65"/>
      <c r="AL208" s="65"/>
      <c r="AM208" s="65"/>
      <c r="AN208" s="65"/>
      <c r="AO208" s="65"/>
      <c r="AP208" s="65"/>
      <c r="AQ208" s="65"/>
      <c r="AR208" s="65"/>
      <c r="AS208" s="65"/>
      <c r="AT208" s="65"/>
      <c r="AU208" s="65"/>
      <c r="AV208" s="65"/>
      <c r="AW208" s="65"/>
      <c r="AX208" s="65"/>
      <c r="AY208" s="65"/>
      <c r="AZ208" s="65"/>
      <c r="BA208" s="65"/>
    </row>
    <row r="209" spans="1:53" ht="15" customHeight="1">
      <c r="A209" s="65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  <c r="AB209" s="65"/>
      <c r="AC209" s="65"/>
      <c r="AD209" s="65"/>
      <c r="AE209" s="65"/>
      <c r="AF209" s="65"/>
      <c r="AG209" s="65"/>
      <c r="AH209" s="65"/>
      <c r="AI209" s="65"/>
      <c r="AJ209" s="65"/>
      <c r="AK209" s="65"/>
      <c r="AL209" s="65"/>
      <c r="AM209" s="65"/>
      <c r="AN209" s="65"/>
      <c r="AO209" s="65"/>
      <c r="AP209" s="65"/>
      <c r="AQ209" s="65"/>
      <c r="AR209" s="65"/>
      <c r="AS209" s="65"/>
      <c r="AT209" s="65"/>
      <c r="AU209" s="65"/>
      <c r="AV209" s="65"/>
      <c r="AW209" s="65"/>
      <c r="AX209" s="65"/>
      <c r="AY209" s="65"/>
      <c r="AZ209" s="65"/>
      <c r="BA209" s="65"/>
    </row>
    <row r="210" spans="1:53" ht="15" customHeight="1"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65"/>
      <c r="AF210" s="65"/>
      <c r="AG210" s="65"/>
      <c r="AH210" s="65"/>
      <c r="AI210" s="65"/>
      <c r="AJ210" s="65"/>
      <c r="AK210" s="65"/>
      <c r="AL210" s="65"/>
      <c r="AM210" s="65"/>
      <c r="AN210" s="65"/>
      <c r="AO210" s="65"/>
      <c r="AP210" s="65"/>
      <c r="AQ210" s="65"/>
      <c r="AR210" s="65"/>
      <c r="AS210" s="65"/>
      <c r="AT210" s="65"/>
      <c r="AU210" s="65"/>
      <c r="AV210" s="65"/>
      <c r="AW210" s="65"/>
      <c r="AX210" s="65"/>
      <c r="AY210" s="65"/>
      <c r="AZ210" s="65"/>
    </row>
    <row r="211" spans="1:53" ht="15" customHeight="1"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  <c r="AB211" s="65"/>
      <c r="AC211" s="65"/>
      <c r="AD211" s="65"/>
      <c r="AE211" s="65"/>
      <c r="AF211" s="65"/>
      <c r="AG211" s="65"/>
      <c r="AH211" s="65"/>
      <c r="AI211" s="65"/>
      <c r="AJ211" s="65"/>
      <c r="AK211" s="65"/>
      <c r="AL211" s="65"/>
      <c r="AM211" s="65"/>
      <c r="AN211" s="65"/>
      <c r="AO211" s="65"/>
      <c r="AP211" s="65"/>
      <c r="AQ211" s="65"/>
      <c r="AR211" s="65"/>
      <c r="AS211" s="65"/>
      <c r="AT211" s="65"/>
      <c r="AU211" s="65"/>
      <c r="AV211" s="65"/>
      <c r="AW211" s="65"/>
      <c r="AX211" s="65"/>
      <c r="AY211" s="65"/>
      <c r="AZ211" s="65"/>
    </row>
    <row r="212" spans="1:53" ht="15" customHeight="1"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65"/>
      <c r="Z212" s="65"/>
      <c r="AA212" s="65"/>
      <c r="AB212" s="65"/>
      <c r="AC212" s="65"/>
      <c r="AD212" s="65"/>
      <c r="AE212" s="65"/>
      <c r="AF212" s="65"/>
      <c r="AG212" s="65"/>
      <c r="AH212" s="65"/>
      <c r="AI212" s="65"/>
      <c r="AJ212" s="65"/>
      <c r="AK212" s="65"/>
      <c r="AL212" s="65"/>
      <c r="AM212" s="65"/>
      <c r="AN212" s="65"/>
      <c r="AO212" s="65"/>
      <c r="AP212" s="65"/>
      <c r="AQ212" s="65"/>
      <c r="AR212" s="65"/>
      <c r="AS212" s="65"/>
      <c r="AT212" s="65"/>
      <c r="AU212" s="65"/>
      <c r="AV212" s="65"/>
      <c r="AW212" s="65"/>
      <c r="AX212" s="65"/>
      <c r="AY212" s="65"/>
      <c r="AZ212" s="65"/>
    </row>
    <row r="213" spans="1:53" ht="15" customHeight="1">
      <c r="B213" s="96" t="s">
        <v>66</v>
      </c>
      <c r="C213" s="96"/>
      <c r="D213" s="96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69"/>
      <c r="Z213" s="69"/>
      <c r="AA213" s="69"/>
      <c r="AB213" s="69"/>
      <c r="AC213" s="69"/>
      <c r="AD213" s="69"/>
      <c r="AE213" s="69"/>
      <c r="AF213" s="69"/>
      <c r="AG213" s="69"/>
      <c r="AH213" s="69"/>
      <c r="AI213" s="69"/>
      <c r="AJ213" s="69"/>
      <c r="AK213" s="69"/>
      <c r="AL213" s="69"/>
      <c r="AM213" s="69"/>
      <c r="AN213" s="69"/>
      <c r="AO213" s="69"/>
      <c r="AP213" s="69"/>
      <c r="AQ213" s="69"/>
      <c r="AR213" s="69"/>
      <c r="AS213" s="69"/>
      <c r="AT213" s="69"/>
      <c r="AU213" s="69"/>
      <c r="AV213" s="69"/>
      <c r="AW213" s="69"/>
      <c r="AX213" s="69"/>
      <c r="AY213" s="69"/>
      <c r="AZ213" s="69"/>
    </row>
  </sheetData>
  <mergeCells count="80">
    <mergeCell ref="B119:AZ119"/>
    <mergeCell ref="B176:O176"/>
    <mergeCell ref="P176:W176"/>
    <mergeCell ref="B185:X185"/>
    <mergeCell ref="AD185:AZ185"/>
    <mergeCell ref="B164:AZ167"/>
    <mergeCell ref="A170:BA174"/>
    <mergeCell ref="B132:AZ133"/>
    <mergeCell ref="AV7:AZ7"/>
    <mergeCell ref="B135:AZ136"/>
    <mergeCell ref="B138:AZ138"/>
    <mergeCell ref="B140:AZ142"/>
    <mergeCell ref="B162:AZ162"/>
    <mergeCell ref="B154:AZ160"/>
    <mergeCell ref="B105:AZ106"/>
    <mergeCell ref="B108:AZ110"/>
    <mergeCell ref="B114:AZ116"/>
    <mergeCell ref="B118:AZ118"/>
    <mergeCell ref="B121:AZ124"/>
    <mergeCell ref="B126:AZ126"/>
    <mergeCell ref="B128:AZ130"/>
    <mergeCell ref="B149:AZ152"/>
    <mergeCell ref="B146:AZ147"/>
    <mergeCell ref="B144:AZ144"/>
    <mergeCell ref="B212:X212"/>
    <mergeCell ref="B213:X213"/>
    <mergeCell ref="B183:X183"/>
    <mergeCell ref="AD183:AZ183"/>
    <mergeCell ref="AD184:AZ184"/>
    <mergeCell ref="B184:X184"/>
    <mergeCell ref="B194:X194"/>
    <mergeCell ref="AD194:AZ194"/>
    <mergeCell ref="B196:X196"/>
    <mergeCell ref="B204:AZ204"/>
    <mergeCell ref="B189:AZ189"/>
    <mergeCell ref="A206:BA207"/>
    <mergeCell ref="B198:X198"/>
    <mergeCell ref="AD196:AZ196"/>
    <mergeCell ref="AD198:AZ198"/>
    <mergeCell ref="B88:AZ90"/>
    <mergeCell ref="B92:AZ92"/>
    <mergeCell ref="B94:AZ94"/>
    <mergeCell ref="B96:AZ99"/>
    <mergeCell ref="B101:AZ103"/>
    <mergeCell ref="B82:AZ86"/>
    <mergeCell ref="B39:AZ43"/>
    <mergeCell ref="B45:AZ47"/>
    <mergeCell ref="B49:AZ49"/>
    <mergeCell ref="B51:AZ55"/>
    <mergeCell ref="B58:AZ61"/>
    <mergeCell ref="B63:AZ68"/>
    <mergeCell ref="B70:AZ73"/>
    <mergeCell ref="B75:AZ75"/>
    <mergeCell ref="B77:AZ80"/>
    <mergeCell ref="K4:AZ5"/>
    <mergeCell ref="K2:AZ3"/>
    <mergeCell ref="C22:AY22"/>
    <mergeCell ref="C25:R25"/>
    <mergeCell ref="V25:AM25"/>
    <mergeCell ref="AP25:AR25"/>
    <mergeCell ref="AT25:AZ25"/>
    <mergeCell ref="V13:AB13"/>
    <mergeCell ref="C13:R13"/>
    <mergeCell ref="C10:I10"/>
    <mergeCell ref="C19:R19"/>
    <mergeCell ref="V19:AF19"/>
    <mergeCell ref="AJ19:AY19"/>
    <mergeCell ref="M10:AY10"/>
    <mergeCell ref="C16:AY16"/>
    <mergeCell ref="U7:AH8"/>
    <mergeCell ref="AR36:AY36"/>
    <mergeCell ref="AA30:AN30"/>
    <mergeCell ref="AR30:AY30"/>
    <mergeCell ref="C33:W33"/>
    <mergeCell ref="AA33:AY33"/>
    <mergeCell ref="M35:Q35"/>
    <mergeCell ref="N36:R36"/>
    <mergeCell ref="C36:J36"/>
    <mergeCell ref="V36:AC36"/>
    <mergeCell ref="AG36:AN36"/>
  </mergeCells>
  <pageMargins left="0.51181102362204722" right="0.51181102362204722" top="0.78740157480314965" bottom="0.78740157480314965" header="0.31496062992125984" footer="0.31496062992125984"/>
  <pageSetup paperSize="9" scale="90" orientation="portrait" r:id="rId1"/>
  <headerFooter>
    <oddFooter>&amp;R&amp;P/&amp;N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Drop Down 5">
              <controlPr defaultSize="0" autoLine="0" autoPict="0">
                <anchor moveWithCells="1">
                  <from>
                    <xdr:col>0</xdr:col>
                    <xdr:colOff>114300</xdr:colOff>
                    <xdr:row>29</xdr:row>
                    <xdr:rowOff>0</xdr:rowOff>
                  </from>
                  <to>
                    <xdr:col>24</xdr:col>
                    <xdr:colOff>19050</xdr:colOff>
                    <xdr:row>30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5"/>
  <sheetViews>
    <sheetView workbookViewId="0">
      <selection activeCell="S19" sqref="S19"/>
    </sheetView>
  </sheetViews>
  <sheetFormatPr defaultColWidth="9.125" defaultRowHeight="11.25"/>
  <cols>
    <col min="1" max="1" width="9.25" style="6" bestFit="1" customWidth="1"/>
    <col min="2" max="4" width="9.125" style="6"/>
    <col min="5" max="5" width="9.625" style="6" bestFit="1" customWidth="1"/>
    <col min="6" max="6" width="9.125" style="6"/>
    <col min="7" max="7" width="9.625" style="6" bestFit="1" customWidth="1"/>
    <col min="8" max="11" width="9.125" style="6"/>
    <col min="12" max="12" width="9.25" style="6" bestFit="1" customWidth="1"/>
    <col min="13" max="13" width="11.25" style="13" bestFit="1" customWidth="1"/>
    <col min="14" max="16384" width="9.125" style="6"/>
  </cols>
  <sheetData>
    <row r="1" spans="1:13" ht="12" thickBot="1">
      <c r="A1" s="10" t="s">
        <v>67</v>
      </c>
      <c r="B1" s="10" t="s">
        <v>62</v>
      </c>
      <c r="C1" s="10" t="s">
        <v>68</v>
      </c>
      <c r="D1" s="10" t="s">
        <v>69</v>
      </c>
      <c r="E1" s="11" t="s">
        <v>70</v>
      </c>
      <c r="F1" s="10" t="s">
        <v>71</v>
      </c>
      <c r="G1" s="11" t="s">
        <v>72</v>
      </c>
      <c r="H1" s="10" t="s">
        <v>73</v>
      </c>
      <c r="I1" s="10" t="s">
        <v>11</v>
      </c>
      <c r="J1" s="10" t="s">
        <v>12</v>
      </c>
      <c r="K1" s="10" t="s">
        <v>74</v>
      </c>
      <c r="L1" s="12" t="s">
        <v>14</v>
      </c>
      <c r="M1" s="14" t="s">
        <v>75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Views>
    <sheetView workbookViewId="0">
      <selection activeCell="D31" sqref="D31"/>
    </sheetView>
  </sheetViews>
  <sheetFormatPr defaultColWidth="12.75" defaultRowHeight="14.25"/>
  <cols>
    <col min="1" max="1" width="22.375" customWidth="1"/>
    <col min="2" max="2" width="29.375" customWidth="1"/>
    <col min="3" max="3" width="23.25" customWidth="1"/>
    <col min="4" max="4" width="24.125" customWidth="1"/>
    <col min="5" max="5" width="20.875" customWidth="1"/>
  </cols>
  <sheetData>
    <row r="1" spans="1:14">
      <c r="A1">
        <v>1</v>
      </c>
    </row>
    <row r="2" spans="1:14">
      <c r="A2">
        <v>2</v>
      </c>
      <c r="B2" t="s">
        <v>76</v>
      </c>
      <c r="C2" t="s">
        <v>77</v>
      </c>
      <c r="D2" t="s">
        <v>78</v>
      </c>
      <c r="E2" t="s">
        <v>79</v>
      </c>
      <c r="F2">
        <v>110</v>
      </c>
      <c r="G2" t="s">
        <v>80</v>
      </c>
    </row>
    <row r="3" spans="1:14">
      <c r="A3">
        <v>3</v>
      </c>
      <c r="B3" t="s">
        <v>81</v>
      </c>
      <c r="C3" t="s">
        <v>82</v>
      </c>
      <c r="D3" t="s">
        <v>83</v>
      </c>
      <c r="E3" t="s">
        <v>84</v>
      </c>
      <c r="F3">
        <v>60</v>
      </c>
      <c r="G3" t="s">
        <v>80</v>
      </c>
    </row>
    <row r="4" spans="1:14">
      <c r="A4">
        <v>4</v>
      </c>
      <c r="B4" t="s">
        <v>85</v>
      </c>
      <c r="C4" t="s">
        <v>86</v>
      </c>
      <c r="D4" t="s">
        <v>83</v>
      </c>
      <c r="E4" t="s">
        <v>87</v>
      </c>
      <c r="F4">
        <v>110</v>
      </c>
      <c r="G4" t="s">
        <v>80</v>
      </c>
    </row>
    <row r="5" spans="1:14">
      <c r="A5">
        <v>5</v>
      </c>
      <c r="B5" t="s">
        <v>88</v>
      </c>
      <c r="C5" t="s">
        <v>82</v>
      </c>
      <c r="D5" t="s">
        <v>89</v>
      </c>
      <c r="E5" t="s">
        <v>84</v>
      </c>
      <c r="F5">
        <v>60</v>
      </c>
      <c r="G5" t="s">
        <v>90</v>
      </c>
    </row>
    <row r="6" spans="1:14">
      <c r="A6">
        <v>6</v>
      </c>
      <c r="B6" t="s">
        <v>91</v>
      </c>
      <c r="C6" t="s">
        <v>92</v>
      </c>
      <c r="D6" t="s">
        <v>93</v>
      </c>
      <c r="E6" t="s">
        <v>94</v>
      </c>
      <c r="F6">
        <v>110</v>
      </c>
      <c r="G6" t="s">
        <v>95</v>
      </c>
    </row>
    <row r="7" spans="1:14">
      <c r="A7">
        <v>7</v>
      </c>
      <c r="B7" t="s">
        <v>96</v>
      </c>
      <c r="C7" t="s">
        <v>97</v>
      </c>
      <c r="D7" t="s">
        <v>83</v>
      </c>
      <c r="E7" t="s">
        <v>98</v>
      </c>
      <c r="F7">
        <v>110</v>
      </c>
      <c r="G7" t="s">
        <v>95</v>
      </c>
    </row>
    <row r="8" spans="1:14">
      <c r="A8">
        <v>8</v>
      </c>
      <c r="B8" t="s">
        <v>99</v>
      </c>
      <c r="C8" t="s">
        <v>100</v>
      </c>
      <c r="D8" t="s">
        <v>78</v>
      </c>
      <c r="E8" t="s">
        <v>101</v>
      </c>
      <c r="F8">
        <v>110</v>
      </c>
      <c r="G8" t="s">
        <v>90</v>
      </c>
    </row>
    <row r="9" spans="1:14">
      <c r="A9">
        <v>9</v>
      </c>
      <c r="B9" t="s">
        <v>102</v>
      </c>
      <c r="C9" t="s">
        <v>103</v>
      </c>
      <c r="D9" t="s">
        <v>104</v>
      </c>
      <c r="E9" t="s">
        <v>94</v>
      </c>
      <c r="F9">
        <v>110</v>
      </c>
      <c r="G9" t="s">
        <v>95</v>
      </c>
    </row>
    <row r="11" spans="1:14">
      <c r="C11" s="2">
        <f ca="1">TODAY()</f>
      </c>
    </row>
    <row r="12" spans="1:14">
      <c r="A12" t="s">
        <v>105</v>
      </c>
      <c r="B12" t="s">
        <v>106</v>
      </c>
      <c r="C12" t="s">
        <v>107</v>
      </c>
      <c r="D12" t="s">
        <v>108</v>
      </c>
      <c r="E12" t="s">
        <v>109</v>
      </c>
      <c r="F12" t="s">
        <v>110</v>
      </c>
    </row>
    <row r="13" spans="1:14">
      <c r="A13" s="15">
        <v>6</v>
      </c>
      <c r="B13" t="s">
        <v>111</v>
      </c>
      <c r="C13" s="2">
        <v>46112</v>
      </c>
      <c r="D13">
        <v>110</v>
      </c>
      <c r="E13" s="1">
        <f ca="1">IF(C11&lt;C13,9,IF(C11&lt;C14,8,IF(C11&lt;C15,7,IF(C11&lt;C16,6,IF(C11&lt;C17,4,IF(C11&lt;C18,3,IF(C11&lt;C19,2,IF(C11&lt;C20,1,0))))))))</f>
      </c>
      <c r="F13">
        <v>110</v>
      </c>
      <c r="H13" s="3">
        <v>1100</v>
      </c>
      <c r="I13">
        <v>9</v>
      </c>
      <c r="J13">
        <f>H13/I13</f>
      </c>
      <c r="K13">
        <v>10</v>
      </c>
      <c r="L13" s="4">
        <f>H13/K13</f>
      </c>
      <c r="N13" s="2">
        <v>46091</v>
      </c>
    </row>
    <row r="14" spans="1:14">
      <c r="A14">
        <v>1</v>
      </c>
      <c r="B14" t="s">
        <v>111</v>
      </c>
      <c r="C14" s="2">
        <v>46142</v>
      </c>
      <c r="D14">
        <v>110</v>
      </c>
      <c r="E14" s="1">
        <v>8</v>
      </c>
      <c r="F14">
        <v>110</v>
      </c>
      <c r="H14" s="3">
        <f>$J$13*I14</f>
      </c>
      <c r="I14">
        <f>I13-1</f>
      </c>
      <c r="K14">
        <f>K13-1</f>
      </c>
      <c r="L14" s="4">
        <f>H14/K14</f>
      </c>
      <c r="M14">
        <f>9*110</f>
      </c>
      <c r="N14" s="2">
        <v>46122</v>
      </c>
    </row>
    <row r="15" spans="1:14">
      <c r="A15">
        <v>1</v>
      </c>
      <c r="B15" t="s">
        <v>111</v>
      </c>
      <c r="C15" s="2">
        <v>46173</v>
      </c>
      <c r="D15">
        <v>110</v>
      </c>
      <c r="E15" s="1">
        <v>7</v>
      </c>
      <c r="F15">
        <v>110</v>
      </c>
      <c r="H15" s="3">
        <f t="shared" ref="H15:H21" si="0">$J$13*I15</f>
      </c>
      <c r="I15">
        <f t="shared" ref="I15:I20" si="1">I14-1</f>
      </c>
      <c r="K15">
        <f>K14-1</f>
      </c>
      <c r="L15" s="4">
        <f t="shared" ref="L15:L21" si="2">H15/K15</f>
      </c>
      <c r="M15">
        <f>8*110</f>
      </c>
      <c r="N15" s="2">
        <v>46152</v>
      </c>
    </row>
    <row r="16" spans="1:14">
      <c r="A16">
        <v>1</v>
      </c>
      <c r="B16" t="s">
        <v>111</v>
      </c>
      <c r="C16" s="2">
        <v>46203</v>
      </c>
      <c r="D16">
        <v>110</v>
      </c>
      <c r="E16" s="1">
        <v>6</v>
      </c>
      <c r="F16">
        <v>110</v>
      </c>
      <c r="H16" s="3">
        <f t="shared" si="0"/>
      </c>
      <c r="I16">
        <f t="shared" si="1"/>
      </c>
      <c r="K16">
        <f>K15-1</f>
      </c>
      <c r="L16" s="4">
        <f t="shared" si="2"/>
      </c>
      <c r="M16">
        <f>7*110</f>
      </c>
      <c r="N16" s="2">
        <v>46183</v>
      </c>
    </row>
    <row r="17" spans="1:14">
      <c r="A17">
        <v>1</v>
      </c>
      <c r="B17" t="s">
        <v>111</v>
      </c>
      <c r="C17" s="2">
        <v>46265</v>
      </c>
      <c r="D17">
        <v>110</v>
      </c>
      <c r="E17" s="1">
        <v>4</v>
      </c>
      <c r="F17">
        <v>110</v>
      </c>
      <c r="H17" s="3">
        <f t="shared" si="0"/>
      </c>
      <c r="I17">
        <f t="shared" si="1"/>
      </c>
      <c r="K17">
        <v>5</v>
      </c>
      <c r="L17" s="4">
        <f t="shared" si="2"/>
      </c>
      <c r="M17">
        <f>5*110</f>
      </c>
      <c r="N17" s="2">
        <v>46244</v>
      </c>
    </row>
    <row r="18" spans="1:14">
      <c r="A18">
        <v>1</v>
      </c>
      <c r="B18" t="s">
        <v>111</v>
      </c>
      <c r="C18" s="2">
        <v>46295</v>
      </c>
      <c r="D18">
        <v>110</v>
      </c>
      <c r="E18" s="1">
        <v>3</v>
      </c>
      <c r="F18">
        <v>110</v>
      </c>
      <c r="H18" s="3">
        <f t="shared" si="0"/>
      </c>
      <c r="I18">
        <f t="shared" si="1"/>
      </c>
      <c r="K18">
        <f>K17-1</f>
      </c>
      <c r="L18" s="4">
        <f t="shared" si="2"/>
      </c>
      <c r="M18">
        <f>K18*110</f>
      </c>
      <c r="N18" s="2">
        <v>46275</v>
      </c>
    </row>
    <row r="19" spans="1:14">
      <c r="A19">
        <v>1</v>
      </c>
      <c r="B19" t="s">
        <v>111</v>
      </c>
      <c r="C19" s="2">
        <v>46326</v>
      </c>
      <c r="D19">
        <v>110</v>
      </c>
      <c r="E19" s="1">
        <v>2</v>
      </c>
      <c r="F19">
        <v>110</v>
      </c>
      <c r="H19" s="3">
        <f t="shared" si="0"/>
      </c>
      <c r="I19">
        <f t="shared" si="1"/>
      </c>
      <c r="K19">
        <f>K18-1</f>
      </c>
      <c r="L19" s="4">
        <f t="shared" si="2"/>
      </c>
      <c r="M19">
        <f t="shared" ref="M19:M21" si="3">K19*110</f>
      </c>
      <c r="N19" s="2">
        <v>46305</v>
      </c>
    </row>
    <row r="20" spans="1:14">
      <c r="A20">
        <v>1</v>
      </c>
      <c r="B20" t="s">
        <v>111</v>
      </c>
      <c r="C20" s="2">
        <v>46356</v>
      </c>
      <c r="D20">
        <v>110</v>
      </c>
      <c r="E20" s="1">
        <v>1</v>
      </c>
      <c r="F20">
        <v>110</v>
      </c>
      <c r="H20" s="3">
        <f t="shared" si="0"/>
      </c>
      <c r="I20">
        <f t="shared" si="1"/>
      </c>
      <c r="K20">
        <f>K19-1</f>
      </c>
      <c r="L20" s="4">
        <f t="shared" si="2"/>
      </c>
      <c r="M20">
        <f t="shared" si="3"/>
      </c>
      <c r="N20" s="2">
        <v>46336</v>
      </c>
    </row>
    <row r="21" spans="1:14">
      <c r="A21">
        <v>1</v>
      </c>
      <c r="B21" t="s">
        <v>111</v>
      </c>
      <c r="C21" s="2">
        <v>46387</v>
      </c>
      <c r="D21">
        <v>110</v>
      </c>
      <c r="E21" s="1">
        <v>0</v>
      </c>
      <c r="F21">
        <v>110</v>
      </c>
      <c r="H21" s="3">
        <f t="shared" si="0"/>
      </c>
      <c r="I21">
        <f>I20-1</f>
      </c>
      <c r="K21">
        <f>K20-1</f>
      </c>
      <c r="L21" s="4">
        <f t="shared" si="2"/>
      </c>
      <c r="M21">
        <f t="shared" si="3"/>
      </c>
      <c r="N21" s="2">
        <v>46366</v>
      </c>
    </row>
    <row r="22" spans="1:14">
      <c r="B22" s="2"/>
    </row>
    <row r="23" spans="1:14">
      <c r="B23" s="2"/>
    </row>
    <row r="24" spans="1:14">
      <c r="B24" s="2"/>
    </row>
    <row r="25" spans="1:14">
      <c r="B25" s="2"/>
    </row>
    <row r="26" spans="1:14">
      <c r="B26" s="2"/>
    </row>
    <row r="27" spans="1:14">
      <c r="B27" s="2"/>
    </row>
    <row r="28" spans="1:14">
      <c r="B28" s="5"/>
    </row>
    <row r="29" spans="1:14">
      <c r="B29" s="5"/>
    </row>
    <row r="30" spans="1:14">
      <c r="B30" s="5"/>
    </row>
    <row r="31" spans="1:14">
      <c r="B31" s="5"/>
    </row>
    <row r="32" spans="1:14">
      <c r="B32" s="5"/>
    </row>
    <row r="33" spans="2:2">
      <c r="B33" s="5"/>
    </row>
    <row r="34" spans="2:2">
      <c r="B34" s="5"/>
    </row>
    <row r="35" spans="2:2">
      <c r="B35" s="5"/>
    </row>
    <row r="36" spans="2:2">
      <c r="B36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Planilha1</vt:lpstr>
      <vt:lpstr>Planilha3</vt:lpstr>
      <vt:lpstr>Planilha2</vt:lpstr>
      <vt:lpstr>Planilha1!_Hlk158276605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Emerson Albarracin</dc:creator>
  <cp:lastModifiedBy>Desktop</cp:lastModifiedBy>
  <cp:lastPrinted>2026-04-01T16:04:55Z</cp:lastPrinted>
  <dcterms:created xsi:type="dcterms:W3CDTF">2026-02-16T13:51:48Z</dcterms:created>
  <dcterms:modified xsi:type="dcterms:W3CDTF">2026-06-15T20:21:39Z</dcterms:modified>
</cp:coreProperties>
</file>